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zainglenn/Documents/projects/expense-and-payment-tracker/"/>
    </mc:Choice>
  </mc:AlternateContent>
  <xr:revisionPtr revIDLastSave="0" documentId="13_ncr:1_{C5EBD920-E8D4-BB4B-93BA-70E18D7A159E}" xr6:coauthVersionLast="47" xr6:coauthVersionMax="47" xr10:uidLastSave="{00000000-0000-0000-0000-000000000000}"/>
  <bookViews>
    <workbookView xWindow="0" yWindow="660" windowWidth="30240" windowHeight="17140" activeTab="5" xr2:uid="{00000000-000D-0000-FFFF-FFFF00000000}"/>
  </bookViews>
  <sheets>
    <sheet name="ChartData" sheetId="6" state="veryHidden" r:id="rId1"/>
    <sheet name="📊 Dashboard" sheetId="1" r:id="rId2"/>
    <sheet name="February 2026" sheetId="2" r:id="rId3"/>
    <sheet name="March 2026" sheetId="3" r:id="rId4"/>
    <sheet name="April 2026" sheetId="4" r:id="rId5"/>
    <sheet name="May 2026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1" l="1"/>
  <c r="C25" i="1"/>
  <c r="E25" i="1" s="1"/>
  <c r="D24" i="1"/>
  <c r="C24" i="1"/>
  <c r="E24" i="1" s="1"/>
  <c r="E23" i="1"/>
  <c r="D23" i="1"/>
  <c r="C23" i="1"/>
  <c r="D22" i="1"/>
  <c r="C22" i="1"/>
  <c r="E18" i="1"/>
  <c r="D18" i="1"/>
  <c r="F17" i="1"/>
  <c r="E17" i="1"/>
  <c r="D17" i="1"/>
  <c r="C17" i="1"/>
  <c r="F16" i="1"/>
  <c r="E16" i="1"/>
  <c r="D16" i="1"/>
  <c r="C16" i="1"/>
  <c r="F15" i="1"/>
  <c r="E15" i="1"/>
  <c r="D15" i="1"/>
  <c r="C15" i="1"/>
  <c r="I10" i="1"/>
  <c r="H10" i="1"/>
  <c r="G10" i="1"/>
  <c r="F10" i="1"/>
  <c r="E10" i="1"/>
  <c r="D10" i="1"/>
  <c r="C10" i="1"/>
  <c r="I9" i="1"/>
  <c r="H9" i="1"/>
  <c r="G9" i="1"/>
  <c r="F9" i="1"/>
  <c r="E9" i="1"/>
  <c r="D9" i="1"/>
  <c r="C9" i="1"/>
  <c r="I8" i="1"/>
  <c r="H8" i="1"/>
  <c r="G8" i="1"/>
  <c r="F8" i="1"/>
  <c r="E8" i="1"/>
  <c r="D8" i="1"/>
  <c r="C8" i="1"/>
  <c r="I7" i="1"/>
  <c r="H7" i="1"/>
  <c r="G7" i="1"/>
  <c r="F7" i="1"/>
  <c r="E7" i="1"/>
  <c r="D7" i="1"/>
  <c r="C7" i="1"/>
  <c r="J19" i="8"/>
  <c r="J18" i="8"/>
  <c r="J17" i="8"/>
  <c r="J16" i="8"/>
  <c r="J15" i="8"/>
  <c r="J11" i="8"/>
  <c r="J10" i="8"/>
  <c r="J9" i="8"/>
  <c r="J5" i="8"/>
  <c r="K4" i="8"/>
  <c r="J4" i="8"/>
  <c r="K3" i="8"/>
  <c r="J3" i="8"/>
  <c r="K19" i="4"/>
  <c r="K18" i="4"/>
  <c r="K17" i="4"/>
  <c r="K16" i="4"/>
  <c r="K15" i="4"/>
  <c r="K11" i="4"/>
  <c r="K10" i="4"/>
  <c r="K9" i="4"/>
  <c r="K5" i="4"/>
  <c r="K4" i="4"/>
  <c r="K3" i="4"/>
  <c r="L3" i="4"/>
  <c r="L4" i="4"/>
  <c r="D18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J20" i="2"/>
  <c r="J19" i="2"/>
  <c r="J18" i="2"/>
  <c r="J17" i="2"/>
  <c r="J16" i="2"/>
  <c r="K20" i="3"/>
  <c r="K19" i="3"/>
  <c r="K18" i="3"/>
  <c r="K15" i="3"/>
  <c r="K17" i="3"/>
  <c r="K16" i="3"/>
  <c r="K5" i="3"/>
  <c r="K4" i="3"/>
  <c r="K3" i="3"/>
  <c r="J4" i="2"/>
  <c r="J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3"/>
  <c r="L4" i="3" s="1"/>
  <c r="K11" i="3"/>
  <c r="K10" i="3"/>
  <c r="K9" i="3"/>
  <c r="L3" i="3"/>
  <c r="D20" i="3"/>
  <c r="D18" i="3"/>
  <c r="D17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D8" i="2"/>
  <c r="D7" i="2"/>
  <c r="D39" i="2"/>
  <c r="D27" i="2"/>
  <c r="D38" i="2"/>
  <c r="D35" i="2"/>
  <c r="D31" i="2"/>
  <c r="D43" i="2"/>
  <c r="D12" i="2"/>
  <c r="D4" i="2"/>
  <c r="D21" i="2"/>
  <c r="D26" i="2"/>
  <c r="D25" i="2"/>
  <c r="D22" i="2"/>
  <c r="D15" i="2"/>
  <c r="D41" i="2"/>
  <c r="D37" i="2"/>
  <c r="D30" i="2"/>
  <c r="D11" i="2"/>
  <c r="D29" i="2"/>
  <c r="D34" i="2"/>
  <c r="D18" i="2"/>
  <c r="D20" i="2"/>
  <c r="D40" i="2"/>
  <c r="D10" i="2"/>
  <c r="D9" i="2"/>
  <c r="D24" i="2"/>
  <c r="D17" i="2"/>
  <c r="J15" i="2"/>
  <c r="D33" i="2"/>
  <c r="D6" i="2"/>
  <c r="D5" i="2"/>
  <c r="D23" i="2"/>
  <c r="J11" i="2"/>
  <c r="D36" i="2"/>
  <c r="J10" i="2"/>
  <c r="D28" i="2"/>
  <c r="J9" i="2"/>
  <c r="D3" i="2"/>
  <c r="D14" i="2"/>
  <c r="D13" i="2"/>
  <c r="D19" i="2"/>
  <c r="D16" i="2"/>
  <c r="D32" i="2"/>
  <c r="K3" i="2"/>
  <c r="D42" i="2"/>
  <c r="D2" i="2"/>
  <c r="I11" i="1" l="1"/>
  <c r="F18" i="1"/>
  <c r="F11" i="1"/>
  <c r="C31" i="1" s="1"/>
  <c r="C11" i="1"/>
  <c r="G16" i="1"/>
  <c r="D34" i="1" s="1"/>
  <c r="D11" i="1"/>
  <c r="E11" i="1"/>
  <c r="G11" i="1"/>
  <c r="C32" i="1" s="1"/>
  <c r="G17" i="1"/>
  <c r="C35" i="1" s="1"/>
  <c r="D26" i="1"/>
  <c r="H11" i="1"/>
  <c r="E22" i="1"/>
  <c r="C18" i="1"/>
  <c r="J5" i="2"/>
  <c r="K10" i="2" s="1"/>
  <c r="C26" i="1"/>
  <c r="G15" i="1"/>
  <c r="K11" i="8"/>
  <c r="K9" i="8"/>
  <c r="K10" i="8"/>
  <c r="L9" i="4"/>
  <c r="L10" i="4"/>
  <c r="L11" i="4"/>
  <c r="L11" i="3"/>
  <c r="L10" i="3"/>
  <c r="L9" i="3"/>
  <c r="K4" i="2"/>
  <c r="C30" i="1" l="1"/>
  <c r="C34" i="1"/>
  <c r="D35" i="1"/>
  <c r="G18" i="1"/>
  <c r="H15" i="1" s="1"/>
  <c r="E26" i="1"/>
  <c r="C36" i="1" s="1"/>
  <c r="K9" i="2"/>
  <c r="K11" i="2"/>
  <c r="D33" i="1"/>
  <c r="C33" i="1"/>
  <c r="H16" i="1" l="1"/>
  <c r="H17" i="1"/>
</calcChain>
</file>

<file path=xl/sharedStrings.xml><?xml version="1.0" encoding="utf-8"?>
<sst xmlns="http://schemas.openxmlformats.org/spreadsheetml/2006/main" count="1078" uniqueCount="193">
  <si>
    <t>HOUSEHOLD BUDGET TRACKER</t>
  </si>
  <si>
    <t xml:space="preserve">  MONTHLY SPEND OVERVIEW</t>
  </si>
  <si>
    <t>Month</t>
  </si>
  <si>
    <t xml:space="preserve">  Total Spend</t>
  </si>
  <si>
    <t xml:space="preserve">  Groceries</t>
  </si>
  <si>
    <t xml:space="preserve">  Dine Out/Takeaways</t>
  </si>
  <si>
    <t xml:space="preserve">  Entertainment</t>
  </si>
  <si>
    <t xml:space="preserve">  Jade</t>
  </si>
  <si>
    <t xml:space="preserve">  Zain</t>
  </si>
  <si>
    <t xml:space="preserve">  TOTAL OUTSTANDING</t>
  </si>
  <si>
    <t>Date</t>
  </si>
  <si>
    <t>Place</t>
  </si>
  <si>
    <t>Total (AED)</t>
  </si>
  <si>
    <t>Split (AED)</t>
  </si>
  <si>
    <t>Zain Paid</t>
  </si>
  <si>
    <t>Jade Paid</t>
  </si>
  <si>
    <t>Category</t>
  </si>
  <si>
    <t xml:space="preserve">  SUMMARY</t>
  </si>
  <si>
    <t>Grandiose</t>
  </si>
  <si>
    <t>Yes</t>
  </si>
  <si>
    <t>Groceries</t>
  </si>
  <si>
    <t>Owed (AED)</t>
  </si>
  <si>
    <t>Still Due (AED)</t>
  </si>
  <si>
    <t>Mimis Brunch</t>
  </si>
  <si>
    <t>No</t>
  </si>
  <si>
    <t>Entertainment</t>
  </si>
  <si>
    <t>Al  Kabayal Oasis</t>
  </si>
  <si>
    <t>The Else Club</t>
  </si>
  <si>
    <t>Waitrrose</t>
  </si>
  <si>
    <t>Careem Quick</t>
  </si>
  <si>
    <t xml:space="preserve">  BY CATEGORY</t>
  </si>
  <si>
    <t>Careem Food</t>
  </si>
  <si>
    <t>Dine Out/Takeaways</t>
  </si>
  <si>
    <t>% of Spend</t>
  </si>
  <si>
    <t>Uber</t>
  </si>
  <si>
    <t>Lulu</t>
  </si>
  <si>
    <t>Talabat</t>
  </si>
  <si>
    <t xml:space="preserve">  QUICK STATS</t>
  </si>
  <si>
    <t>Mccegitagans</t>
  </si>
  <si>
    <t>Metric</t>
  </si>
  <si>
    <t>Value</t>
  </si>
  <si>
    <t>Drizz Acai</t>
  </si>
  <si>
    <t xml:space="preserve">  Transactions</t>
  </si>
  <si>
    <t xml:space="preserve">  Avg Per Trip</t>
  </si>
  <si>
    <t>Noqodi Gv Trolleys</t>
  </si>
  <si>
    <t xml:space="preserve">  Biggest Spend</t>
  </si>
  <si>
    <t>Carreem Food</t>
  </si>
  <si>
    <t xml:space="preserve">  Groceries Trips</t>
  </si>
  <si>
    <t xml:space="preserve">  Dine Out Trips</t>
  </si>
  <si>
    <t>Grandios Supermarket</t>
  </si>
  <si>
    <t xml:space="preserve">  Entertain. Trips</t>
  </si>
  <si>
    <t>Lime Tree cafe</t>
  </si>
  <si>
    <t>Keeta</t>
  </si>
  <si>
    <t>Meraas</t>
  </si>
  <si>
    <t>Car Service Zofuer</t>
  </si>
  <si>
    <t>Amazon Now</t>
  </si>
  <si>
    <t>Al Hadaf Food Catering</t>
  </si>
  <si>
    <t>yoberry</t>
  </si>
  <si>
    <t>Cmart  13</t>
  </si>
  <si>
    <t>Lekker Meats</t>
  </si>
  <si>
    <t>Hyperama Cafe</t>
  </si>
  <si>
    <t>Hyperama</t>
  </si>
  <si>
    <t>1-20 - AL Kabayel</t>
  </si>
  <si>
    <t>Dominoes</t>
  </si>
  <si>
    <t>Carrem Food</t>
  </si>
  <si>
    <t>Canary Club</t>
  </si>
  <si>
    <t>Waitrose</t>
  </si>
  <si>
    <t>African And Eastern</t>
  </si>
  <si>
    <t>Starbucks</t>
  </si>
  <si>
    <t>Salt</t>
  </si>
  <si>
    <t>Mini Bounce</t>
  </si>
  <si>
    <t>Mcdonalds</t>
  </si>
  <si>
    <t>Lime Tree Cafe</t>
  </si>
  <si>
    <t>Landmark - Clothing/Retail</t>
  </si>
  <si>
    <t>Garden on 8</t>
  </si>
  <si>
    <t>Airport transfer</t>
  </si>
  <si>
    <t>Emriates Airport Service</t>
  </si>
  <si>
    <t>Covenant Stars Selling Dubai</t>
  </si>
  <si>
    <t>Careem Food Abu Dhabi</t>
  </si>
  <si>
    <t>Burgundy Superette Cape Town</t>
  </si>
  <si>
    <t>Ubereatsza</t>
  </si>
  <si>
    <t>Rooiberg Superette Parow</t>
  </si>
  <si>
    <t>BP Belhar</t>
  </si>
  <si>
    <t>Ml River Quarter Cape Town</t>
  </si>
  <si>
    <t>Engen Bellville</t>
  </si>
  <si>
    <t>Tops Parow Valley</t>
  </si>
  <si>
    <t>Tops Cape Town</t>
  </si>
  <si>
    <t>Spar Parow Valley</t>
  </si>
  <si>
    <t>Woolworths Plattekloof</t>
  </si>
  <si>
    <t>Black Bull Bershire Parklands</t>
  </si>
  <si>
    <t>Uber Eats</t>
  </si>
  <si>
    <t>Food Lover's Market Parow</t>
  </si>
  <si>
    <t>Shoprite Sb002379</t>
  </si>
  <si>
    <t>Diemersdal Durbanville</t>
  </si>
  <si>
    <t>Korine Supermarket Western Cape</t>
  </si>
  <si>
    <t>Vidaecafferichwood Milnerton</t>
  </si>
  <si>
    <t>Clicks Milnerton</t>
  </si>
  <si>
    <t>Rooiberg Superette Parow Valley</t>
  </si>
  <si>
    <t>The Mojo Hotel Cape Town</t>
  </si>
  <si>
    <t>Biltong Craft Sa Sea Point</t>
  </si>
  <si>
    <t>The Copper Club Eatery Bellville</t>
  </si>
  <si>
    <t>Green Petroleum Servic Lansdowne</t>
  </si>
  <si>
    <t>Pick n Pay Durbanville</t>
  </si>
  <si>
    <t>Ocean Basket Parow</t>
  </si>
  <si>
    <t>Willows Caffe Bellville</t>
  </si>
  <si>
    <t>The Crazy Store Willow Cape Town</t>
  </si>
  <si>
    <t>Bugz Un</t>
  </si>
  <si>
    <t>Bugz Playpark 2 Kraaifontein</t>
  </si>
  <si>
    <t>Klein Roosboom Pty Lt Durbanville</t>
  </si>
  <si>
    <t>Kaapse Liqueu Cape Town</t>
  </si>
  <si>
    <t>Oranjezicht C Cape Town</t>
  </si>
  <si>
    <t>Brew Lounge Cape Town</t>
  </si>
  <si>
    <t>Pick n Pay Parow</t>
  </si>
  <si>
    <t>KFC Parow</t>
  </si>
  <si>
    <t>BP Belhar4</t>
  </si>
  <si>
    <t>The Copper Club Eater Bellville</t>
  </si>
  <si>
    <t>Fishermans Village Be Belhar</t>
  </si>
  <si>
    <t>Checkers Sb006446</t>
  </si>
  <si>
    <t>J and T</t>
  </si>
  <si>
    <t>ZAR Ref</t>
  </si>
  <si>
    <t>IV Drip Bar</t>
  </si>
  <si>
    <t>Spar</t>
  </si>
  <si>
    <t>Burner</t>
  </si>
  <si>
    <t>Blaauklippen</t>
  </si>
  <si>
    <t>Copper</t>
  </si>
  <si>
    <t>Woolworths</t>
  </si>
  <si>
    <t>Asami</t>
  </si>
  <si>
    <t>Farefield</t>
  </si>
  <si>
    <t>talabat.com</t>
  </si>
  <si>
    <t>SPINNEYS DUBAI LLC</t>
  </si>
  <si>
    <t>CAREEM QUIK</t>
  </si>
  <si>
    <t>WAITROSE SUPERMARKET</t>
  </si>
  <si>
    <t>D047 STARBUCKS ENOC 3C</t>
  </si>
  <si>
    <t>ENOC SITE 7825</t>
  </si>
  <si>
    <t>CAREEM FOOD</t>
  </si>
  <si>
    <t>LAYALI KAZA CAFE</t>
  </si>
  <si>
    <t>Olive Th qlub dubai</t>
  </si>
  <si>
    <t>ADNOC VILLA HIGHWAY 37</t>
  </si>
  <si>
    <t>MUZNA FOOD &amp; BEVERAGES</t>
  </si>
  <si>
    <t>J798 PRIMARK</t>
  </si>
  <si>
    <t>Q2 GENERAL CLEANING SE</t>
  </si>
  <si>
    <t>APPLE.COM/BILL</t>
  </si>
  <si>
    <t>Careem Deliveries FZ-L</t>
  </si>
  <si>
    <t>CAREEM PLUS</t>
  </si>
  <si>
    <t>LULU HYPER MARKET LLC</t>
  </si>
  <si>
    <t>TAP*Keeta</t>
  </si>
  <si>
    <t>CAREEM RIDE</t>
  </si>
  <si>
    <t>ENOC SITE 1041</t>
  </si>
  <si>
    <t>ROXY CINEMA Dubai Hill</t>
  </si>
  <si>
    <t>ROXY CINEMA - Dubai Hi</t>
  </si>
  <si>
    <t>CAREEM DELIVERIES QUIK</t>
  </si>
  <si>
    <t>VALTRANS TRANSPORTATIO</t>
  </si>
  <si>
    <t>PREMIER ALLIANCE RESTA</t>
  </si>
  <si>
    <t>www.landmarkgroup.com</t>
  </si>
  <si>
    <t>CAREEM DELIVERIES NOW</t>
  </si>
  <si>
    <t>CROCS</t>
  </si>
  <si>
    <t>C Mart 13</t>
  </si>
  <si>
    <t>Bougee Lou qlub dubai</t>
  </si>
  <si>
    <t>GRACIEFUL GLAMOUR BEA</t>
  </si>
  <si>
    <t>KEETA DB DELIVERY SERV</t>
  </si>
  <si>
    <t>CAFU APP DMCC</t>
  </si>
  <si>
    <t>TALABAT COM</t>
  </si>
  <si>
    <t xml:space="preserve">  Updated: 16 May 2026  ·  Currency: AED  ·  * May 2026 is a partial month</t>
  </si>
  <si>
    <t>Dine Out / Takeaways</t>
  </si>
  <si>
    <t>Total Spend</t>
  </si>
  <si>
    <t>Transactions</t>
  </si>
  <si>
    <t>Zain Owes</t>
  </si>
  <si>
    <t>Jade Owes</t>
  </si>
  <si>
    <t xml:space="preserve">  Feb 2026</t>
  </si>
  <si>
    <t xml:space="preserve">  Mar 2026</t>
  </si>
  <si>
    <t xml:space="preserve">  Apr 2026</t>
  </si>
  <si>
    <t xml:space="preserve">  May 2026*</t>
  </si>
  <si>
    <t xml:space="preserve">  TOTAL</t>
  </si>
  <si>
    <t xml:space="preserve">  SPENDING BY CATEGORY  (ALL MONTHS)</t>
  </si>
  <si>
    <t>May 2026*</t>
  </si>
  <si>
    <t>Total</t>
  </si>
  <si>
    <t xml:space="preserve">  OUTSTANDING BALANCES  (unpaid transactions)</t>
  </si>
  <si>
    <t>Zain Still Owes</t>
  </si>
  <si>
    <t>Jade Still Owes</t>
  </si>
  <si>
    <t>Combined Outstanding</t>
  </si>
  <si>
    <t xml:space="preserve">  KEY STATISTICS</t>
  </si>
  <si>
    <t>Notes</t>
  </si>
  <si>
    <t xml:space="preserve">  Total All-Time Spend</t>
  </si>
  <si>
    <t>Across all 4 months</t>
  </si>
  <si>
    <t xml:space="preserve">  Average Monthly Spend</t>
  </si>
  <si>
    <t>Note: May is partial</t>
  </si>
  <si>
    <t xml:space="preserve">  Total Transactions</t>
  </si>
  <si>
    <t>All months combined</t>
  </si>
  <si>
    <t xml:space="preserve">  Total Groceries</t>
  </si>
  <si>
    <t xml:space="preserve">  Total Dine Out</t>
  </si>
  <si>
    <t xml:space="preserve">  Total Entertainment</t>
  </si>
  <si>
    <t xml:space="preserve">  Combined Still Outstanding</t>
  </si>
  <si>
    <t>Zain + Jade unpaid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</si>
</sst>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AED &quot;\ #,##0.00"/>
    <numFmt numFmtId="165" formatCode="0.0%"/>
    <numFmt numFmtId="166" formatCode="&quot;AED &quot;\ #.##0\.00"/>
    <numFmt numFmtId="167" formatCode="&quot;ZAR &quot;\ #,##0.00"/>
    <numFmt numFmtId="168" formatCode="&quot;AED &quot;\ #,##0.00"/>
    <numFmt numFmtId="169" formatCode="#.##0"/>
  </numFmts>
  <fonts count="18" x14ac:knownFonts="1">
    <font>
      <sz val="11"/>
      <color theme="1"/>
      <name val="Calibri"/>
      <family val="2"/>
      <scheme val="minor"/>
    </font>
    <font>
      <b/>
      <sz val="12"/>
      <color rgb="FF00B4D8"/>
      <name val="Calibri"/>
      <family val="2"/>
    </font>
    <font>
      <b/>
      <sz val="10"/>
      <color rgb="FFFFFFFF"/>
      <name val="Calibri"/>
      <family val="2"/>
    </font>
    <font>
      <sz val="10"/>
      <color rgb="FF2C3E50"/>
      <name val="Calibri"/>
      <family val="2"/>
    </font>
    <font>
      <b/>
      <sz val="10"/>
      <color rgb="FF2C3E50"/>
      <name val="Calibri"/>
      <family val="2"/>
    </font>
    <font>
      <b/>
      <sz val="11"/>
      <color rgb="FFFFFFFF"/>
      <name val="Calibri"/>
      <family val="2"/>
    </font>
    <font>
      <b/>
      <sz val="10"/>
      <color rgb="FF000000"/>
      <name val="Calibri"/>
      <family val="2"/>
    </font>
    <font>
      <b/>
      <sz val="11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10"/>
      <color rgb="FFD8B400"/>
      <name val="Calibri"/>
      <family val="2"/>
      <scheme val="minor"/>
    </font>
    <font>
      <b/>
      <sz val="11"/>
      <color rgb="FFD8B4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503E2C"/>
      <name val="Calibri"/>
      <family val="2"/>
      <scheme val="minor"/>
    </font>
    <font>
      <b/>
      <sz val="10"/>
      <color rgb="FF503E2C"/>
      <name val="Calibri"/>
      <family val="2"/>
      <scheme val="minor"/>
    </font>
    <font>
      <sz val="10"/>
      <color rgb="FF06009C"/>
      <name val="Calibri"/>
      <family val="2"/>
      <scheme val="minor"/>
    </font>
    <font>
      <b/>
      <sz val="10"/>
      <color rgb="FF06009C"/>
      <name val="Calibri"/>
      <family val="2"/>
      <scheme val="minor"/>
    </font>
    <font>
      <sz val="10"/>
      <color rgb="FF216227"/>
      <name val="Calibri"/>
      <family val="2"/>
      <scheme val="minor"/>
    </font>
    <font>
      <sz val="10"/>
      <color rgb="FF88888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1B2A3B"/>
      </patternFill>
    </fill>
    <fill>
      <patternFill patternType="solid">
        <fgColor rgb="FF2C3E50"/>
      </patternFill>
    </fill>
    <fill>
      <patternFill patternType="solid">
        <fgColor rgb="FFE8EDF2"/>
      </patternFill>
    </fill>
    <fill>
      <patternFill patternType="solid">
        <fgColor rgb="FFFFFFFF"/>
      </patternFill>
    </fill>
    <fill>
      <patternFill patternType="solid">
        <fgColor rgb="FFD5F0D5"/>
      </patternFill>
    </fill>
    <fill>
      <patternFill patternType="solid">
        <fgColor rgb="FFE8DAEF"/>
      </patternFill>
    </fill>
    <fill>
      <patternFill patternType="solid">
        <fgColor rgb="FFFDEBD0"/>
      </patternFill>
    </fill>
    <fill>
      <patternFill patternType="solid">
        <fgColor rgb="FF1B2A3B"/>
        <bgColor indexed="64"/>
      </patternFill>
    </fill>
    <fill>
      <patternFill patternType="solid">
        <fgColor rgb="FFD5F0D5"/>
        <bgColor indexed="64"/>
      </patternFill>
    </fill>
    <fill>
      <patternFill patternType="solid">
        <fgColor rgb="FF3B2A1B"/>
        <bgColor indexed="64"/>
      </patternFill>
    </fill>
    <fill>
      <patternFill patternType="solid">
        <fgColor rgb="FF503E2C"/>
        <bgColor indexed="64"/>
      </patternFill>
    </fill>
    <fill>
      <patternFill patternType="solid">
        <fgColor rgb="FFF7F2EE"/>
        <bgColor indexed="64"/>
      </patternFill>
    </fill>
    <fill>
      <patternFill patternType="solid">
        <fgColor rgb="FFCEC7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0EBFD"/>
        <bgColor indexed="64"/>
      </patternFill>
    </fill>
    <fill>
      <patternFill patternType="solid">
        <fgColor rgb="FFEFDAE8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rgb="FFF2EDE8"/>
        <bgColor indexed="64"/>
      </patternFill>
    </fill>
  </fills>
  <borders count="17">
    <border>
      <left/>
      <right/>
      <top/>
      <bottom/>
      <diagonal/>
    </border>
    <border>
      <left style="thin">
        <color rgb="FFD0D7DE"/>
      </left>
      <right style="thin">
        <color rgb="FFD0D7DE"/>
      </right>
      <top style="thin">
        <color rgb="FFD0D7DE"/>
      </top>
      <bottom style="thin">
        <color rgb="FFD0D7DE"/>
      </bottom>
      <diagonal/>
    </border>
    <border>
      <left/>
      <right/>
      <top style="thin">
        <color rgb="FFD0D7DE"/>
      </top>
      <bottom style="thin">
        <color rgb="FFD0D7DE"/>
      </bottom>
      <diagonal/>
    </border>
    <border>
      <left/>
      <right style="thin">
        <color rgb="FFD0D7DE"/>
      </right>
      <top style="thin">
        <color rgb="FFD0D7DE"/>
      </top>
      <bottom style="thin">
        <color rgb="FFD0D7D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7DE"/>
      </left>
      <right/>
      <top style="thin">
        <color rgb="FFD0D7DE"/>
      </top>
      <bottom style="thin">
        <color rgb="FFD0D7DE"/>
      </bottom>
      <diagonal/>
    </border>
    <border>
      <left style="thin">
        <color rgb="FFD0D7DE"/>
      </left>
      <right style="thin">
        <color rgb="FFD0D7DE"/>
      </right>
      <top style="thin">
        <color rgb="FFD0D7DE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DED7D0"/>
      </left>
      <right/>
      <top/>
      <bottom/>
      <diagonal/>
    </border>
    <border>
      <left style="thin">
        <color rgb="FFDED7D0"/>
      </left>
      <right/>
      <top style="thin">
        <color rgb="FFDED7D0"/>
      </top>
      <bottom/>
      <diagonal/>
    </border>
    <border>
      <left style="thin">
        <color rgb="FFDED7D0"/>
      </left>
      <right/>
      <top style="thin">
        <color rgb="FFDED7D0"/>
      </top>
      <bottom style="thin">
        <color rgb="FFDED7D0"/>
      </bottom>
      <diagonal/>
    </border>
    <border>
      <left style="thin">
        <color rgb="FFDED7D0"/>
      </left>
      <right style="thin">
        <color rgb="FFDED7D0"/>
      </right>
      <top style="thin">
        <color rgb="FFDED7D0"/>
      </top>
      <bottom style="thin">
        <color rgb="FFDED7D0"/>
      </bottom>
      <diagonal/>
    </border>
    <border>
      <left style="thin">
        <color rgb="FFDED7D0"/>
      </left>
      <right style="thin">
        <color rgb="FFDED7D0"/>
      </right>
      <top style="thin">
        <color rgb="FFDED7D0"/>
      </top>
      <bottom/>
      <diagonal/>
    </border>
    <border>
      <left/>
      <right/>
      <top style="thin">
        <color rgb="FFDED7D0"/>
      </top>
      <bottom style="thin">
        <color rgb="FFDED7D0"/>
      </bottom>
      <diagonal/>
    </border>
    <border>
      <left/>
      <right/>
      <top style="thin">
        <color rgb="FFDED7D0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164" fontId="3" fillId="5" borderId="1" xfId="0" applyNumberFormat="1" applyFont="1" applyFill="1" applyBorder="1" applyAlignment="1">
      <alignment horizontal="right" vertical="center"/>
    </xf>
    <xf numFmtId="164" fontId="2" fillId="3" borderId="1" xfId="0" applyNumberFormat="1" applyFont="1" applyFill="1" applyBorder="1" applyAlignment="1">
      <alignment horizontal="right" vertical="center"/>
    </xf>
    <xf numFmtId="0" fontId="5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3" fillId="6" borderId="1" xfId="0" applyFont="1" applyFill="1" applyBorder="1" applyAlignment="1">
      <alignment horizontal="left" vertical="center"/>
    </xf>
    <xf numFmtId="165" fontId="3" fillId="5" borderId="1" xfId="0" applyNumberFormat="1" applyFont="1" applyFill="1" applyBorder="1" applyAlignment="1">
      <alignment horizontal="right" vertical="center"/>
    </xf>
    <xf numFmtId="0" fontId="3" fillId="8" borderId="1" xfId="0" applyFont="1" applyFill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17" fontId="0" fillId="0" borderId="0" xfId="0" applyNumberFormat="1"/>
    <xf numFmtId="0" fontId="4" fillId="4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right" vertical="center"/>
    </xf>
    <xf numFmtId="15" fontId="0" fillId="0" borderId="0" xfId="0" applyNumberFormat="1"/>
    <xf numFmtId="164" fontId="0" fillId="0" borderId="0" xfId="0" applyNumberFormat="1"/>
    <xf numFmtId="15" fontId="0" fillId="0" borderId="1" xfId="0" applyNumberFormat="1" applyBorder="1"/>
    <xf numFmtId="0" fontId="0" fillId="0" borderId="1" xfId="0" applyBorder="1"/>
    <xf numFmtId="164" fontId="0" fillId="0" borderId="1" xfId="0" applyNumberFormat="1" applyBorder="1"/>
    <xf numFmtId="0" fontId="7" fillId="9" borderId="0" xfId="0" applyFont="1" applyFill="1" applyAlignment="1">
      <alignment horizontal="right"/>
    </xf>
    <xf numFmtId="167" fontId="0" fillId="0" borderId="0" xfId="0" applyNumberFormat="1"/>
    <xf numFmtId="166" fontId="0" fillId="0" borderId="0" xfId="0" applyNumberFormat="1"/>
    <xf numFmtId="0" fontId="0" fillId="5" borderId="1" xfId="0" applyFill="1" applyBorder="1" applyAlignment="1">
      <alignment horizontal="right" vertical="center"/>
    </xf>
    <xf numFmtId="0" fontId="0" fillId="0" borderId="9" xfId="0" applyBorder="1"/>
    <xf numFmtId="0" fontId="7" fillId="9" borderId="0" xfId="0" applyFont="1" applyFill="1" applyAlignment="1">
      <alignment horizontal="right" vertical="center"/>
    </xf>
    <xf numFmtId="0" fontId="0" fillId="0" borderId="7" xfId="0" applyBorder="1"/>
    <xf numFmtId="15" fontId="0" fillId="0" borderId="8" xfId="0" applyNumberFormat="1" applyBorder="1"/>
    <xf numFmtId="164" fontId="0" fillId="0" borderId="9" xfId="0" applyNumberFormat="1" applyBorder="1"/>
    <xf numFmtId="0" fontId="11" fillId="11" borderId="11" xfId="0" applyFont="1" applyFill="1" applyBorder="1" applyAlignment="1">
      <alignment horizontal="center" vertical="center"/>
    </xf>
    <xf numFmtId="0" fontId="12" fillId="13" borderId="11" xfId="0" applyFont="1" applyFill="1" applyBorder="1" applyAlignment="1">
      <alignment horizontal="left" vertical="center"/>
    </xf>
    <xf numFmtId="0" fontId="12" fillId="13" borderId="12" xfId="0" applyFont="1" applyFill="1" applyBorder="1" applyAlignment="1">
      <alignment horizontal="left" vertical="center"/>
    </xf>
    <xf numFmtId="0" fontId="12" fillId="13" borderId="13" xfId="0" applyFont="1" applyFill="1" applyBorder="1" applyAlignment="1">
      <alignment horizontal="left" vertical="center"/>
    </xf>
    <xf numFmtId="168" fontId="12" fillId="13" borderId="11" xfId="0" applyNumberFormat="1" applyFont="1" applyFill="1" applyBorder="1" applyAlignment="1">
      <alignment horizontal="right" vertical="center"/>
    </xf>
    <xf numFmtId="168" fontId="13" fillId="13" borderId="11" xfId="0" applyNumberFormat="1" applyFont="1" applyFill="1" applyBorder="1" applyAlignment="1">
      <alignment horizontal="right" vertical="center"/>
    </xf>
    <xf numFmtId="169" fontId="12" fillId="13" borderId="11" xfId="0" applyNumberFormat="1" applyFont="1" applyFill="1" applyBorder="1" applyAlignment="1">
      <alignment horizontal="center" vertical="center"/>
    </xf>
    <xf numFmtId="168" fontId="14" fillId="14" borderId="11" xfId="0" applyNumberFormat="1" applyFont="1" applyFill="1" applyBorder="1" applyAlignment="1">
      <alignment horizontal="right" vertical="center"/>
    </xf>
    <xf numFmtId="0" fontId="11" fillId="11" borderId="14" xfId="0" applyFont="1" applyFill="1" applyBorder="1" applyAlignment="1">
      <alignment horizontal="center" vertical="center"/>
    </xf>
    <xf numFmtId="0" fontId="12" fillId="15" borderId="11" xfId="0" applyFont="1" applyFill="1" applyBorder="1" applyAlignment="1">
      <alignment horizontal="left" vertical="center"/>
    </xf>
    <xf numFmtId="168" fontId="12" fillId="15" borderId="11" xfId="0" applyNumberFormat="1" applyFont="1" applyFill="1" applyBorder="1" applyAlignment="1">
      <alignment horizontal="right" vertical="center"/>
    </xf>
    <xf numFmtId="168" fontId="13" fillId="15" borderId="11" xfId="0" applyNumberFormat="1" applyFont="1" applyFill="1" applyBorder="1" applyAlignment="1">
      <alignment horizontal="right" vertical="center"/>
    </xf>
    <xf numFmtId="169" fontId="12" fillId="15" borderId="11" xfId="0" applyNumberFormat="1" applyFont="1" applyFill="1" applyBorder="1" applyAlignment="1">
      <alignment horizontal="center" vertical="center"/>
    </xf>
    <xf numFmtId="168" fontId="14" fillId="14" borderId="14" xfId="0" applyNumberFormat="1" applyFont="1" applyFill="1" applyBorder="1" applyAlignment="1">
      <alignment horizontal="right" vertical="center"/>
    </xf>
    <xf numFmtId="0" fontId="11" fillId="12" borderId="12" xfId="0" applyFont="1" applyFill="1" applyBorder="1" applyAlignment="1">
      <alignment horizontal="left" vertical="center"/>
    </xf>
    <xf numFmtId="168" fontId="11" fillId="12" borderId="12" xfId="0" applyNumberFormat="1" applyFont="1" applyFill="1" applyBorder="1" applyAlignment="1">
      <alignment horizontal="right" vertical="center"/>
    </xf>
    <xf numFmtId="168" fontId="11" fillId="12" borderId="13" xfId="0" applyNumberFormat="1" applyFont="1" applyFill="1" applyBorder="1" applyAlignment="1">
      <alignment horizontal="right" vertical="center"/>
    </xf>
    <xf numFmtId="169" fontId="11" fillId="12" borderId="12" xfId="0" applyNumberFormat="1" applyFont="1" applyFill="1" applyBorder="1" applyAlignment="1">
      <alignment horizontal="center" vertical="center"/>
    </xf>
    <xf numFmtId="168" fontId="15" fillId="14" borderId="12" xfId="0" applyNumberFormat="1" applyFont="1" applyFill="1" applyBorder="1" applyAlignment="1">
      <alignment horizontal="right" vertical="center"/>
    </xf>
    <xf numFmtId="168" fontId="15" fillId="14" borderId="13" xfId="0" applyNumberFormat="1" applyFont="1" applyFill="1" applyBorder="1" applyAlignment="1">
      <alignment horizontal="right" vertical="center"/>
    </xf>
    <xf numFmtId="17" fontId="11" fillId="11" borderId="11" xfId="0" applyNumberFormat="1" applyFont="1" applyFill="1" applyBorder="1" applyAlignment="1">
      <alignment horizontal="center" vertical="center"/>
    </xf>
    <xf numFmtId="0" fontId="12" fillId="10" borderId="11" xfId="0" applyFont="1" applyFill="1" applyBorder="1" applyAlignment="1">
      <alignment horizontal="left" vertical="center"/>
    </xf>
    <xf numFmtId="168" fontId="12" fillId="10" borderId="11" xfId="0" applyNumberFormat="1" applyFont="1" applyFill="1" applyBorder="1" applyAlignment="1">
      <alignment horizontal="right" vertical="center"/>
    </xf>
    <xf numFmtId="168" fontId="13" fillId="10" borderId="11" xfId="0" applyNumberFormat="1" applyFont="1" applyFill="1" applyBorder="1" applyAlignment="1">
      <alignment horizontal="right" vertical="center"/>
    </xf>
    <xf numFmtId="0" fontId="12" fillId="16" borderId="11" xfId="0" applyFont="1" applyFill="1" applyBorder="1" applyAlignment="1">
      <alignment horizontal="left" vertical="center"/>
    </xf>
    <xf numFmtId="168" fontId="12" fillId="16" borderId="11" xfId="0" applyNumberFormat="1" applyFont="1" applyFill="1" applyBorder="1" applyAlignment="1">
      <alignment horizontal="right" vertical="center"/>
    </xf>
    <xf numFmtId="168" fontId="13" fillId="16" borderId="11" xfId="0" applyNumberFormat="1" applyFont="1" applyFill="1" applyBorder="1" applyAlignment="1">
      <alignment horizontal="right" vertical="center"/>
    </xf>
    <xf numFmtId="0" fontId="12" fillId="17" borderId="11" xfId="0" applyFont="1" applyFill="1" applyBorder="1" applyAlignment="1">
      <alignment horizontal="left" vertical="center"/>
    </xf>
    <xf numFmtId="168" fontId="12" fillId="17" borderId="11" xfId="0" applyNumberFormat="1" applyFont="1" applyFill="1" applyBorder="1" applyAlignment="1">
      <alignment horizontal="right" vertical="center"/>
    </xf>
    <xf numFmtId="168" fontId="13" fillId="17" borderId="11" xfId="0" applyNumberFormat="1" applyFont="1" applyFill="1" applyBorder="1" applyAlignment="1">
      <alignment horizontal="right" vertical="center"/>
    </xf>
    <xf numFmtId="165" fontId="12" fillId="15" borderId="13" xfId="0" applyNumberFormat="1" applyFont="1" applyFill="1" applyBorder="1" applyAlignment="1">
      <alignment horizontal="center" vertical="center"/>
    </xf>
    <xf numFmtId="165" fontId="12" fillId="15" borderId="14" xfId="0" applyNumberFormat="1" applyFont="1" applyFill="1" applyBorder="1" applyAlignment="1">
      <alignment horizontal="center" vertical="center"/>
    </xf>
    <xf numFmtId="0" fontId="12" fillId="11" borderId="11" xfId="0" applyFont="1" applyFill="1" applyBorder="1" applyAlignment="1">
      <alignment horizontal="left" vertical="center"/>
    </xf>
    <xf numFmtId="0" fontId="12" fillId="11" borderId="14" xfId="0" applyFont="1" applyFill="1" applyBorder="1" applyAlignment="1">
      <alignment horizontal="left" vertical="center"/>
    </xf>
    <xf numFmtId="0" fontId="12" fillId="13" borderId="14" xfId="0" applyFont="1" applyFill="1" applyBorder="1" applyAlignment="1">
      <alignment horizontal="left" vertical="center"/>
    </xf>
    <xf numFmtId="0" fontId="12" fillId="15" borderId="14" xfId="0" applyFont="1" applyFill="1" applyBorder="1" applyAlignment="1">
      <alignment horizontal="left" vertical="center"/>
    </xf>
    <xf numFmtId="168" fontId="16" fillId="18" borderId="11" xfId="0" applyNumberFormat="1" applyFont="1" applyFill="1" applyBorder="1" applyAlignment="1">
      <alignment horizontal="right" vertical="center"/>
    </xf>
    <xf numFmtId="0" fontId="12" fillId="12" borderId="12" xfId="0" applyFont="1" applyFill="1" applyBorder="1" applyAlignment="1">
      <alignment horizontal="left" vertical="center"/>
    </xf>
    <xf numFmtId="0" fontId="12" fillId="12" borderId="13" xfId="0" applyFont="1" applyFill="1" applyBorder="1" applyAlignment="1">
      <alignment horizontal="left" vertical="center"/>
    </xf>
    <xf numFmtId="0" fontId="13" fillId="19" borderId="11" xfId="0" applyFont="1" applyFill="1" applyBorder="1" applyAlignment="1">
      <alignment horizontal="left" vertical="center"/>
    </xf>
    <xf numFmtId="0" fontId="13" fillId="19" borderId="12" xfId="0" applyFont="1" applyFill="1" applyBorder="1" applyAlignment="1">
      <alignment horizontal="left" vertical="center"/>
    </xf>
    <xf numFmtId="168" fontId="10" fillId="12" borderId="14" xfId="0" applyNumberFormat="1" applyFont="1" applyFill="1" applyBorder="1" applyAlignment="1">
      <alignment horizontal="right" vertical="center"/>
    </xf>
    <xf numFmtId="0" fontId="17" fillId="13" borderId="15" xfId="0" applyFont="1" applyFill="1" applyBorder="1" applyAlignment="1">
      <alignment horizontal="left" vertical="center"/>
    </xf>
    <xf numFmtId="0" fontId="17" fillId="13" borderId="16" xfId="0" applyFont="1" applyFill="1" applyBorder="1" applyAlignment="1">
      <alignment horizontal="left" vertical="center"/>
    </xf>
    <xf numFmtId="168" fontId="10" fillId="15" borderId="14" xfId="0" applyNumberFormat="1" applyFont="1" applyFill="1" applyBorder="1" applyAlignment="1">
      <alignment horizontal="right" vertical="center"/>
    </xf>
    <xf numFmtId="0" fontId="17" fillId="15" borderId="16" xfId="0" applyFont="1" applyFill="1" applyBorder="1" applyAlignment="1">
      <alignment horizontal="left" vertical="center"/>
    </xf>
    <xf numFmtId="169" fontId="10" fillId="13" borderId="14" xfId="0" applyNumberFormat="1" applyFont="1" applyFill="1" applyBorder="1" applyAlignment="1">
      <alignment horizontal="right" vertical="center"/>
    </xf>
    <xf numFmtId="165" fontId="12" fillId="15" borderId="16" xfId="0" applyNumberFormat="1" applyFont="1" applyFill="1" applyBorder="1" applyAlignment="1">
      <alignment horizontal="center" vertical="center"/>
    </xf>
    <xf numFmtId="168" fontId="10" fillId="13" borderId="14" xfId="0" applyNumberFormat="1" applyFont="1" applyFill="1" applyBorder="1" applyAlignment="1">
      <alignment horizontal="right" vertical="center"/>
    </xf>
    <xf numFmtId="168" fontId="10" fillId="13" borderId="13" xfId="0" applyNumberFormat="1" applyFont="1" applyFill="1" applyBorder="1" applyAlignment="1">
      <alignment horizontal="right" vertical="center"/>
    </xf>
    <xf numFmtId="165" fontId="12" fillId="13" borderId="16" xfId="0" applyNumberFormat="1" applyFont="1" applyFill="1" applyBorder="1" applyAlignment="1">
      <alignment horizontal="center" vertical="center"/>
    </xf>
    <xf numFmtId="0" fontId="8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10" fillId="12" borderId="10" xfId="0" applyFont="1" applyFill="1" applyBorder="1" applyAlignment="1">
      <alignment horizontal="left" vertical="center"/>
    </xf>
    <xf numFmtId="0" fontId="10" fillId="12" borderId="0" xfId="0" applyFont="1" applyFill="1" applyAlignment="1">
      <alignment horizontal="left" vertical="center"/>
    </xf>
    <xf numFmtId="0" fontId="4" fillId="5" borderId="4" xfId="0" applyFont="1" applyFill="1" applyBorder="1" applyAlignment="1">
      <alignment horizontal="right" vertical="center"/>
    </xf>
    <xf numFmtId="0" fontId="0" fillId="0" borderId="4" xfId="0" applyBorder="1"/>
    <xf numFmtId="0" fontId="1" fillId="3" borderId="1" xfId="0" applyFont="1" applyFill="1" applyBorder="1" applyAlignment="1">
      <alignment horizontal="left" vertical="center"/>
    </xf>
    <xf numFmtId="0" fontId="0" fillId="0" borderId="2" xfId="0" applyBorder="1"/>
    <xf numFmtId="0" fontId="0" fillId="0" borderId="3" xfId="0" applyBorder="1"/>
    <xf numFmtId="164" fontId="4" fillId="5" borderId="4" xfId="0" applyNumberFormat="1" applyFont="1" applyFill="1" applyBorder="1" applyAlignment="1">
      <alignment horizontal="right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47">
    <dxf>
      <fill>
        <patternFill>
          <bgColor rgb="FFE8DAEF"/>
        </patternFill>
      </fill>
    </dxf>
    <dxf>
      <fill>
        <patternFill>
          <bgColor rgb="FFFDEBD0"/>
        </patternFill>
      </fill>
    </dxf>
    <dxf>
      <fill>
        <patternFill>
          <bgColor rgb="FFD5F0D5"/>
        </patternFill>
      </fill>
    </dxf>
    <dxf>
      <font>
        <b/>
        <color rgb="FF9C0006"/>
        <name val="Calibri"/>
      </font>
      <fill>
        <patternFill>
          <bgColor rgb="FFFFC7CE"/>
        </patternFill>
      </fill>
    </dxf>
    <dxf>
      <font>
        <b/>
        <color rgb="FF276221"/>
        <name val="Calibri"/>
      </font>
      <fill>
        <patternFill>
          <bgColor rgb="FFC6EFCE"/>
        </patternFill>
      </fill>
    </dxf>
    <dxf>
      <font>
        <b/>
        <color rgb="FF9C0006"/>
        <name val="Calibri"/>
      </font>
      <fill>
        <patternFill>
          <bgColor rgb="FFFFC7CE"/>
        </patternFill>
      </fill>
    </dxf>
    <dxf>
      <font>
        <b/>
        <color rgb="FF276221"/>
        <name val="Calibri"/>
      </font>
      <fill>
        <patternFill>
          <bgColor rgb="FFC6EFCE"/>
        </patternFill>
      </fill>
    </dxf>
    <dxf>
      <font>
        <b/>
        <color rgb="FF9C0006"/>
        <name val="Calibri"/>
      </font>
      <fill>
        <patternFill>
          <bgColor rgb="FFFFC7CE"/>
        </patternFill>
      </fill>
    </dxf>
    <dxf>
      <font>
        <b/>
        <color rgb="FF276221"/>
        <name val="Calibri"/>
      </font>
      <fill>
        <patternFill>
          <bgColor rgb="FFC6EFCE"/>
        </patternFill>
      </fill>
    </dxf>
    <dxf>
      <fill>
        <patternFill>
          <bgColor rgb="FFE8DAEF"/>
        </patternFill>
      </fill>
    </dxf>
    <dxf>
      <fill>
        <patternFill>
          <bgColor rgb="FFFDEBD0"/>
        </patternFill>
      </fill>
    </dxf>
    <dxf>
      <fill>
        <patternFill>
          <bgColor rgb="FFD5F0D5"/>
        </patternFill>
      </fill>
    </dxf>
    <dxf>
      <font>
        <b/>
        <color rgb="FF9C0006"/>
        <name val="Calibri"/>
      </font>
      <fill>
        <patternFill>
          <bgColor rgb="FFFFC7CE"/>
        </patternFill>
      </fill>
    </dxf>
    <dxf>
      <font>
        <b/>
        <color rgb="FF276221"/>
        <name val="Calibri"/>
      </font>
      <fill>
        <patternFill>
          <bgColor rgb="FFC6EFCE"/>
        </patternFill>
      </fill>
    </dxf>
    <dxf>
      <font>
        <b/>
        <color rgb="FF9C0006"/>
        <name val="Calibri"/>
      </font>
      <fill>
        <patternFill>
          <bgColor rgb="FFFFC7CE"/>
        </patternFill>
      </fill>
    </dxf>
    <dxf>
      <font>
        <b/>
        <color rgb="FF276221"/>
        <name val="Calibri"/>
      </font>
      <fill>
        <patternFill>
          <bgColor rgb="FFC6EFCE"/>
        </patternFill>
      </fill>
    </dxf>
    <dxf>
      <fill>
        <patternFill>
          <bgColor rgb="FFE8DAEF"/>
        </patternFill>
      </fill>
    </dxf>
    <dxf>
      <fill>
        <patternFill>
          <bgColor rgb="FFFDEBD0"/>
        </patternFill>
      </fill>
    </dxf>
    <dxf>
      <fill>
        <patternFill>
          <bgColor rgb="FFD5F0D5"/>
        </patternFill>
      </fill>
    </dxf>
    <dxf>
      <font>
        <b/>
        <color rgb="FF9C0006"/>
        <name val="Calibri"/>
      </font>
      <fill>
        <patternFill>
          <bgColor rgb="FFFFC7CE"/>
        </patternFill>
      </fill>
    </dxf>
    <dxf>
      <font>
        <b/>
        <color rgb="FF276221"/>
        <name val="Calibri"/>
      </font>
      <fill>
        <patternFill>
          <bgColor rgb="FFC6EFCE"/>
        </patternFill>
      </fill>
    </dxf>
    <dxf>
      <font>
        <b/>
        <color rgb="FF9C0006"/>
        <name val="Calibri"/>
      </font>
      <fill>
        <patternFill>
          <bgColor rgb="FFFFC7CE"/>
        </patternFill>
      </fill>
    </dxf>
    <dxf>
      <font>
        <b/>
        <color rgb="FF276221"/>
        <name val="Calibri"/>
      </font>
      <fill>
        <patternFill>
          <bgColor rgb="FFC6EFCE"/>
        </patternFill>
      </fill>
    </dxf>
    <dxf>
      <fill>
        <patternFill>
          <bgColor rgb="FFE8DAEF"/>
        </patternFill>
      </fill>
    </dxf>
    <dxf>
      <fill>
        <patternFill>
          <bgColor rgb="FFFDEBD0"/>
        </patternFill>
      </fill>
    </dxf>
    <dxf>
      <fill>
        <patternFill>
          <bgColor rgb="FFD5F0D5"/>
        </patternFill>
      </fill>
    </dxf>
    <dxf>
      <font>
        <b/>
        <color rgb="FF9C0006"/>
        <name val="Calibri"/>
      </font>
      <fill>
        <patternFill>
          <bgColor rgb="FFFFC7CE"/>
        </patternFill>
      </fill>
    </dxf>
    <dxf>
      <font>
        <b/>
        <color rgb="FF276221"/>
        <name val="Calibri"/>
      </font>
      <fill>
        <patternFill>
          <bgColor rgb="FFC6EFCE"/>
        </patternFill>
      </fill>
    </dxf>
    <dxf>
      <fill>
        <patternFill>
          <bgColor rgb="FFE8DAEF"/>
        </patternFill>
      </fill>
    </dxf>
    <dxf>
      <fill>
        <patternFill>
          <bgColor rgb="FFFDEBD0"/>
        </patternFill>
      </fill>
    </dxf>
    <dxf>
      <fill>
        <patternFill>
          <bgColor rgb="FFD5F0D5"/>
        </patternFill>
      </fill>
    </dxf>
    <dxf>
      <font>
        <b/>
        <color rgb="FF9C0006"/>
        <name val="Calibri"/>
      </font>
      <fill>
        <patternFill>
          <bgColor rgb="FFFFC7CE"/>
        </patternFill>
      </fill>
    </dxf>
    <dxf>
      <font>
        <b/>
        <color rgb="FF276221"/>
        <name val="Calibri"/>
      </font>
      <fill>
        <patternFill>
          <bgColor rgb="FFC6EFCE"/>
        </patternFill>
      </fill>
    </dxf>
    <dxf>
      <numFmt numFmtId="164" formatCode="&quot;AED &quot;\ #,##0.00"/>
    </dxf>
    <dxf>
      <numFmt numFmtId="166" formatCode="&quot;AED &quot;\ #.##0\.00"/>
    </dxf>
    <dxf>
      <numFmt numFmtId="20" formatCode="dd\-mmm\-yy"/>
    </dxf>
    <dxf>
      <numFmt numFmtId="166" formatCode="&quot;AED &quot;\ #.##0\.00"/>
    </dxf>
    <dxf>
      <numFmt numFmtId="166" formatCode="&quot;AED &quot;\ #.##0\.00"/>
    </dxf>
    <dxf>
      <numFmt numFmtId="20" formatCode="dd\-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AED &quot;\ 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AED &quot;\ 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0" formatCode="dd\-mmm\-yy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FFFFFF"/>
                </a:solidFill>
              </a:defRPr>
            </a:pPr>
            <a:r>
              <a:rPr lang="en-ZA"/>
              <a:t>Monthly Spend by Category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1463800808682701"/>
          <c:y val="0.14618604651162792"/>
          <c:w val="0.54475718237922965"/>
          <c:h val="0.745247756821095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'📊 Dashboard'!$C$6</c:f>
              <c:strCache>
                <c:ptCount val="1"/>
                <c:pt idx="0">
                  <c:v>Groceries</c:v>
                </c:pt>
              </c:strCache>
            </c:strRef>
          </c:tx>
          <c:spPr>
            <a:solidFill>
              <a:srgbClr val="0096C7"/>
            </a:solidFill>
            <a:ln w="25400">
              <a:noFill/>
            </a:ln>
          </c:spPr>
          <c:invertIfNegative val="0"/>
          <c:cat>
            <c:strRef>
              <c:f>'📊 Dashboard'!$B$7:$B$10</c:f>
              <c:strCache>
                <c:ptCount val="4"/>
                <c:pt idx="0">
                  <c:v>  Feb 2026</c:v>
                </c:pt>
                <c:pt idx="1">
                  <c:v>  Mar 2026</c:v>
                </c:pt>
                <c:pt idx="2">
                  <c:v>  Apr 2026</c:v>
                </c:pt>
                <c:pt idx="3">
                  <c:v>  May 2026*</c:v>
                </c:pt>
              </c:strCache>
            </c:strRef>
          </c:cat>
          <c:val>
            <c:numRef>
              <c:f>'📊 Dashboard'!$C$7:$C$10</c:f>
              <c:numCache>
                <c:formatCode>"AED "\ #,##0.00</c:formatCode>
                <c:ptCount val="4"/>
                <c:pt idx="0">
                  <c:v>4337.82</c:v>
                </c:pt>
                <c:pt idx="1">
                  <c:v>1319.27</c:v>
                </c:pt>
                <c:pt idx="2">
                  <c:v>1653.6899999999998</c:v>
                </c:pt>
                <c:pt idx="3">
                  <c:v>1217.0800000000002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81-4892-A974-9EF247CF6589}"/>
            </c:ext>
          </c:extLst>
        </c:ser>
        <c:ser>
          <c:idx val="1"/>
          <c:order val="1"/>
          <c:tx>
            <c:strRef>
              <c:f>'📊 Dashboard'!$D$6</c:f>
              <c:strCache>
                <c:ptCount val="1"/>
                <c:pt idx="0">
                  <c:v>Dine Out / Takeaways</c:v>
                </c:pt>
              </c:strCache>
            </c:strRef>
          </c:tx>
          <c:spPr>
            <a:solidFill>
              <a:srgbClr val="27AE60"/>
            </a:solidFill>
            <a:ln w="25400">
              <a:noFill/>
            </a:ln>
          </c:spPr>
          <c:invertIfNegative val="0"/>
          <c:cat>
            <c:strRef>
              <c:f>'📊 Dashboard'!$B$7:$B$10</c:f>
              <c:strCache>
                <c:ptCount val="4"/>
                <c:pt idx="0">
                  <c:v>  Feb 2026</c:v>
                </c:pt>
                <c:pt idx="1">
                  <c:v>  Mar 2026</c:v>
                </c:pt>
                <c:pt idx="2">
                  <c:v>  Apr 2026</c:v>
                </c:pt>
                <c:pt idx="3">
                  <c:v>  May 2026*</c:v>
                </c:pt>
              </c:strCache>
            </c:strRef>
          </c:cat>
          <c:val>
            <c:numRef>
              <c:f>'📊 Dashboard'!$D$7:$D$10</c:f>
              <c:numCache>
                <c:formatCode>"AED "\ #,##0.00</c:formatCode>
                <c:ptCount val="4"/>
                <c:pt idx="0">
                  <c:v>1224.9000000000001</c:v>
                </c:pt>
                <c:pt idx="1">
                  <c:v>2062.21</c:v>
                </c:pt>
                <c:pt idx="2">
                  <c:v>5520.2599999999993</c:v>
                </c:pt>
                <c:pt idx="3">
                  <c:v>1315.33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81-4892-A974-9EF247CF6589}"/>
            </c:ext>
          </c:extLst>
        </c:ser>
        <c:ser>
          <c:idx val="2"/>
          <c:order val="2"/>
          <c:tx>
            <c:strRef>
              <c:f>'📊 Dashboard'!$E$6</c:f>
              <c:strCache>
                <c:ptCount val="1"/>
                <c:pt idx="0">
                  <c:v>Entertainment</c:v>
                </c:pt>
              </c:strCache>
            </c:strRef>
          </c:tx>
          <c:invertIfNegative val="0"/>
          <c:cat>
            <c:strRef>
              <c:f>'📊 Dashboard'!$B$7:$B$10</c:f>
              <c:strCache>
                <c:ptCount val="4"/>
                <c:pt idx="0">
                  <c:v>  Feb 2026</c:v>
                </c:pt>
                <c:pt idx="1">
                  <c:v>  Mar 2026</c:v>
                </c:pt>
                <c:pt idx="2">
                  <c:v>  Apr 2026</c:v>
                </c:pt>
                <c:pt idx="3">
                  <c:v>  May 2026*</c:v>
                </c:pt>
              </c:strCache>
            </c:strRef>
          </c:cat>
          <c:val>
            <c:numRef>
              <c:f>'📊 Dashboard'!$E$7:$E$10</c:f>
              <c:numCache>
                <c:formatCode>"AED "\ #,##0.00</c:formatCode>
                <c:ptCount val="4"/>
                <c:pt idx="0">
                  <c:v>2117.69</c:v>
                </c:pt>
                <c:pt idx="1">
                  <c:v>3424.8500000000004</c:v>
                </c:pt>
                <c:pt idx="2">
                  <c:v>1228.71</c:v>
                </c:pt>
                <c:pt idx="3">
                  <c:v>1065.8200000000002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B4-4E14-98F7-DB619D387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1471759"/>
        <c:axId val="271482799"/>
      </c:barChart>
      <c:catAx>
        <c:axId val="27147175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C8D2DC"/>
                </a:solidFill>
              </a:defRPr>
            </a:pPr>
            <a:endParaRPr lang="en-US"/>
          </a:p>
        </c:txPr>
        <c:crossAx val="271482799"/>
        <c:crosses val="autoZero"/>
        <c:auto val="1"/>
        <c:lblAlgn val="ctr"/>
        <c:lblOffset val="100"/>
        <c:noMultiLvlLbl val="0"/>
      </c:catAx>
      <c:valAx>
        <c:axId val="271482799"/>
        <c:scaling>
          <c:orientation val="minMax"/>
        </c:scaling>
        <c:delete val="0"/>
        <c:axPos val="b"/>
        <c:majorGridlines/>
        <c:numFmt formatCode="&quot;AED &quot;\ #,##0.00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C8D2DC"/>
                </a:solidFill>
              </a:defRPr>
            </a:pPr>
            <a:endParaRPr lang="en-US"/>
          </a:p>
        </c:txPr>
        <c:crossAx val="271471759"/>
        <c:crosses val="autoZero"/>
        <c:crossBetween val="between"/>
      </c:valAx>
      <c:spPr>
        <a:solidFill>
          <a:srgbClr val="2C3E50"/>
        </a:solidFill>
      </c:spPr>
    </c:plotArea>
    <c:legend>
      <c:legendPos val="r"/>
      <c:overlay val="0"/>
      <c:spPr>
        <a:solidFill>
          <a:srgbClr val="1B2A3B"/>
        </a:solidFill>
        <a:ln w="25400">
          <a:noFill/>
        </a:ln>
      </c:spPr>
      <c:txPr>
        <a:bodyPr/>
        <a:lstStyle/>
        <a:p>
          <a:pPr>
            <a:defRPr sz="800">
              <a:solidFill>
                <a:srgbClr val="C8D2DC"/>
              </a:solidFill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B2A3B"/>
    </a:solidFill>
    <a:ln w="9525"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FFFFFF"/>
                </a:solidFill>
              </a:defRPr>
            </a:pPr>
            <a:r>
              <a:rPr lang="en-ZA"/>
              <a:t>February — Category Split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February Breakdown</c:v>
          </c:tx>
          <c:dPt>
            <c:idx val="0"/>
            <c:bubble3D val="0"/>
            <c:spPr>
              <a:solidFill>
                <a:srgbClr val="00B4D8"/>
              </a:solidFill>
            </c:spPr>
            <c:extLst>
              <c:ext xmlns:c16="http://schemas.microsoft.com/office/drawing/2014/chart" uri="{C3380CC4-5D6E-409C-BE32-E72D297353CC}">
                <c16:uniqueId val="{00000003-6D61-4CB7-AED0-F35478DF3AAB}"/>
              </c:ext>
            </c:extLst>
          </c:dPt>
          <c:dPt>
            <c:idx val="1"/>
            <c:bubble3D val="0"/>
            <c:spPr>
              <a:solidFill>
                <a:srgbClr val="F4A261"/>
              </a:solidFill>
            </c:spPr>
            <c:extLst>
              <c:ext xmlns:c16="http://schemas.microsoft.com/office/drawing/2014/chart" uri="{C3380CC4-5D6E-409C-BE32-E72D297353CC}">
                <c16:uniqueId val="{00000004-6D61-4CB7-AED0-F35478DF3AAB}"/>
              </c:ext>
            </c:extLst>
          </c:dPt>
          <c:dPt>
            <c:idx val="2"/>
            <c:bubble3D val="0"/>
            <c:spPr>
              <a:solidFill>
                <a:srgbClr val="8E44AD"/>
              </a:solidFill>
            </c:spPr>
            <c:extLst>
              <c:ext xmlns:c16="http://schemas.microsoft.com/office/drawing/2014/chart" uri="{C3380CC4-5D6E-409C-BE32-E72D297353CC}">
                <c16:uniqueId val="{00000005-6D61-4CB7-AED0-F35478DF3AA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ChartData!$A$2:$A$4</c:f>
              <c:strCache>
                <c:ptCount val="3"/>
                <c:pt idx="0">
                  <c:v>Groceries</c:v>
                </c:pt>
                <c:pt idx="1">
                  <c:v>Dine Out/Takeaways</c:v>
                </c:pt>
                <c:pt idx="2">
                  <c:v>Entertainment</c:v>
                </c:pt>
              </c:strCache>
            </c:strRef>
          </c:cat>
          <c:val>
            <c:numRef>
              <c:f>ChartData!$B$2:$B$4</c:f>
              <c:numCache>
                <c:formatCode>General</c:formatCode>
                <c:ptCount val="3"/>
                <c:pt idx="0">
                  <c:v>2514.33</c:v>
                </c:pt>
                <c:pt idx="1">
                  <c:v>863.44999999999993</c:v>
                </c:pt>
                <c:pt idx="2">
                  <c:v>1314.44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61-4CB7-AED0-F35478DF3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solidFill>
          <a:srgbClr val="2C3E50"/>
        </a:solidFill>
      </c:spPr>
    </c:plotArea>
    <c:legend>
      <c:legendPos val="r"/>
      <c:overlay val="0"/>
      <c:spPr>
        <a:solidFill>
          <a:srgbClr val="1B2A3B"/>
        </a:solidFill>
        <a:ln w="25400">
          <a:noFill/>
        </a:ln>
      </c:spPr>
      <c:txPr>
        <a:bodyPr/>
        <a:lstStyle/>
        <a:p>
          <a:pPr>
            <a:defRPr sz="800">
              <a:solidFill>
                <a:srgbClr val="C8D2DC"/>
              </a:solidFill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B2A3B"/>
    </a:solidFill>
    <a:ln w="9525"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31</xdr:row>
          <xdr:rowOff>12700</xdr:rowOff>
        </xdr:from>
        <xdr:to>
          <xdr:col>12</xdr:col>
          <xdr:colOff>25400</xdr:colOff>
          <xdr:row>32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 + New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533400</xdr:colOff>
      <xdr:row>1</xdr:row>
      <xdr:rowOff>95250</xdr:rowOff>
    </xdr:from>
    <xdr:to>
      <xdr:col>19</xdr:col>
      <xdr:colOff>285750</xdr:colOff>
      <xdr:row>12</xdr:row>
      <xdr:rowOff>266700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C55670-D77E-A665-3FDF-71A24B8867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447675</xdr:colOff>
      <xdr:row>13</xdr:row>
      <xdr:rowOff>187325</xdr:rowOff>
    </xdr:from>
    <xdr:to>
      <xdr:col>19</xdr:col>
      <xdr:colOff>200025</xdr:colOff>
      <xdr:row>26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0DF7EB4-B4AC-CDA9-5C6E-D4939F337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22</xdr:row>
          <xdr:rowOff>101600</xdr:rowOff>
        </xdr:from>
        <xdr:to>
          <xdr:col>10</xdr:col>
          <xdr:colOff>927100</xdr:colOff>
          <xdr:row>23</xdr:row>
          <xdr:rowOff>101600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 Mark 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24</xdr:row>
          <xdr:rowOff>25400</xdr:rowOff>
        </xdr:from>
        <xdr:to>
          <xdr:col>11</xdr:col>
          <xdr:colOff>12700</xdr:colOff>
          <xdr:row>25</xdr:row>
          <xdr:rowOff>12700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 + 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25400</xdr:rowOff>
        </xdr:from>
        <xdr:to>
          <xdr:col>11</xdr:col>
          <xdr:colOff>38100</xdr:colOff>
          <xdr:row>22</xdr:row>
          <xdr:rowOff>25400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 Delete Row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1422400</xdr:colOff>
          <xdr:row>21</xdr:row>
          <xdr:rowOff>139700</xdr:rowOff>
        </xdr:from>
        <xdr:to>
          <xdr:col>11</xdr:col>
          <xdr:colOff>0</xdr:colOff>
          <xdr:row>23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 Mark 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1460500</xdr:colOff>
          <xdr:row>24</xdr:row>
          <xdr:rowOff>38100</xdr:rowOff>
        </xdr:from>
        <xdr:to>
          <xdr:col>11</xdr:col>
          <xdr:colOff>25400</xdr:colOff>
          <xdr:row>25</xdr:row>
          <xdr:rowOff>139700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 + 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1435100</xdr:colOff>
          <xdr:row>26</xdr:row>
          <xdr:rowOff>25400</xdr:rowOff>
        </xdr:from>
        <xdr:to>
          <xdr:col>11</xdr:col>
          <xdr:colOff>12700</xdr:colOff>
          <xdr:row>27</xdr:row>
          <xdr:rowOff>127000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 Delete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635000</xdr:colOff>
          <xdr:row>21</xdr:row>
          <xdr:rowOff>12700</xdr:rowOff>
        </xdr:from>
        <xdr:to>
          <xdr:col>11</xdr:col>
          <xdr:colOff>787400</xdr:colOff>
          <xdr:row>22</xdr:row>
          <xdr:rowOff>101600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 Mark 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596900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 + 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622300</xdr:colOff>
          <xdr:row>22</xdr:row>
          <xdr:rowOff>177800</xdr:rowOff>
        </xdr:from>
        <xdr:to>
          <xdr:col>11</xdr:col>
          <xdr:colOff>787400</xdr:colOff>
          <xdr:row>24</xdr:row>
          <xdr:rowOff>63500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 Delete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635000</xdr:colOff>
          <xdr:row>21</xdr:row>
          <xdr:rowOff>12700</xdr:rowOff>
        </xdr:from>
        <xdr:to>
          <xdr:col>10</xdr:col>
          <xdr:colOff>787400</xdr:colOff>
          <xdr:row>22</xdr:row>
          <xdr:rowOff>101600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 Mark 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596900</xdr:colOff>
          <xdr:row>25</xdr:row>
          <xdr:rowOff>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 + 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22</xdr:row>
          <xdr:rowOff>177800</xdr:rowOff>
        </xdr:from>
        <xdr:to>
          <xdr:col>10</xdr:col>
          <xdr:colOff>787400</xdr:colOff>
          <xdr:row>24</xdr:row>
          <xdr:rowOff>63500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 Delete Row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Feb" displayName="tblFeb" ref="A1:G43" dataDxfId="46">
  <autoFilter ref="A1:G43" xr:uid="{00000000-0009-0000-0100-000001000000}"/>
  <sortState xmlns:xlrd2="http://schemas.microsoft.com/office/spreadsheetml/2017/richdata2" ref="A2:G43">
    <sortCondition ref="A2:A43"/>
  </sortState>
  <tableColumns count="7">
    <tableColumn id="1" xr3:uid="{00000000-0010-0000-0000-000001000000}" name="Date" dataDxfId="45"/>
    <tableColumn id="2" xr3:uid="{00000000-0010-0000-0000-000002000000}" name="Place" dataDxfId="44"/>
    <tableColumn id="3" xr3:uid="{00000000-0010-0000-0000-000003000000}" name="Total (AED)" dataDxfId="43"/>
    <tableColumn id="4" xr3:uid="{00000000-0010-0000-0000-000004000000}" name="Split (AED)" dataDxfId="42"/>
    <tableColumn id="5" xr3:uid="{00000000-0010-0000-0000-000005000000}" name="Zain Paid" dataDxfId="41"/>
    <tableColumn id="6" xr3:uid="{00000000-0010-0000-0000-000006000000}" name="Jade Paid" dataDxfId="40"/>
    <tableColumn id="7" xr3:uid="{00000000-0010-0000-0000-000007000000}" name="Category" dataDxfId="39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Mar" displayName="tblMar" ref="A1:H82">
  <autoFilter ref="A1:H82" xr:uid="{00000000-0009-0000-0100-000002000000}"/>
  <sortState xmlns:xlrd2="http://schemas.microsoft.com/office/spreadsheetml/2017/richdata2" ref="A2:H82">
    <sortCondition ref="A2:A82"/>
  </sortState>
  <tableColumns count="8">
    <tableColumn id="1" xr3:uid="{00000000-0010-0000-0100-000001000000}" name="Date"/>
    <tableColumn id="2" xr3:uid="{00000000-0010-0000-0100-000002000000}" name="Place"/>
    <tableColumn id="3" xr3:uid="{00000000-0010-0000-0100-000003000000}" name="Total (AED)"/>
    <tableColumn id="4" xr3:uid="{00000000-0010-0000-0100-000004000000}" name="Split (AED)"/>
    <tableColumn id="5" xr3:uid="{00000000-0010-0000-0100-000005000000}" name="Zain Paid"/>
    <tableColumn id="6" xr3:uid="{00000000-0010-0000-0100-000006000000}" name="Jade Paid"/>
    <tableColumn id="7" xr3:uid="{00000000-0010-0000-0100-000007000000}" name="Category"/>
    <tableColumn id="8" xr3:uid="{D1CEACCB-38B9-4B1B-AC4E-186614BF783D}" name="ZAR Ref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Apr" displayName="tblApr" ref="A1:G66">
  <autoFilter ref="A1:G66" xr:uid="{00000000-0009-0000-0100-000003000000}"/>
  <sortState xmlns:xlrd2="http://schemas.microsoft.com/office/spreadsheetml/2017/richdata2" ref="A2:H31">
    <sortCondition ref="A2:A31"/>
  </sortState>
  <tableColumns count="7">
    <tableColumn id="1" xr3:uid="{00000000-0010-0000-0200-000001000000}" name="Date" dataDxfId="38"/>
    <tableColumn id="2" xr3:uid="{00000000-0010-0000-0200-000002000000}" name="Place"/>
    <tableColumn id="3" xr3:uid="{00000000-0010-0000-0200-000003000000}" name="Total (AED)" dataDxfId="37"/>
    <tableColumn id="4" xr3:uid="{00000000-0010-0000-0200-000004000000}" name="Split (AED)" dataDxfId="36"/>
    <tableColumn id="5" xr3:uid="{00000000-0010-0000-0200-000005000000}" name="Zain Paid"/>
    <tableColumn id="6" xr3:uid="{00000000-0010-0000-0200-000006000000}" name="Jade Paid"/>
    <tableColumn id="7" xr3:uid="{00000000-0010-0000-0200-000007000000}" name="Category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615D49C-9A55-4BDF-AC5C-5FEEDD2ACA38}" name="tblApr7" displayName="tblApr7" ref="A1:G41">
  <autoFilter ref="A1:G41" xr:uid="{00000000-0009-0000-0100-000003000000}"/>
  <sortState xmlns:xlrd2="http://schemas.microsoft.com/office/spreadsheetml/2017/richdata2" ref="A2:G41">
    <sortCondition ref="A2:A41"/>
  </sortState>
  <tableColumns count="7">
    <tableColumn id="1" xr3:uid="{1433B526-4893-46EA-8979-B19B71A10DF7}" name="Date" dataDxfId="35"/>
    <tableColumn id="2" xr3:uid="{9885985C-58FB-4020-A275-62D7EB8B30B9}" name="Place"/>
    <tableColumn id="3" xr3:uid="{EF3A9CBF-F58D-4A4D-8927-61A2783D4302}" name="Total (AED)" dataDxfId="34"/>
    <tableColumn id="4" xr3:uid="{4698F22D-EE38-4C86-AD4D-BB776B125255}" name="Split (AED)" dataDxfId="33">
      <calculatedColumnFormula>C2/2</calculatedColumnFormula>
    </tableColumn>
    <tableColumn id="5" xr3:uid="{3320AE1D-2FE2-41D2-A6BE-246F6EAA390A}" name="Zain Paid"/>
    <tableColumn id="6" xr3:uid="{7E0229AD-EF4D-4434-9365-774618FFBF9E}" name="Jade Paid"/>
    <tableColumn id="7" xr3:uid="{B23CB00F-FAFE-4513-89C5-FB78E706C803}" name="Category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table" Target="../tables/table3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83AFE-DAF5-4F20-AFF9-4A000676C5CC}">
  <sheetPr codeName="Sheet6"/>
  <dimension ref="A1:C4"/>
  <sheetViews>
    <sheetView workbookViewId="0"/>
  </sheetViews>
  <sheetFormatPr baseColWidth="10" defaultColWidth="8.83203125" defaultRowHeight="15" x14ac:dyDescent="0.2"/>
  <sheetData>
    <row r="1" spans="1:3" x14ac:dyDescent="0.2">
      <c r="A1" t="s">
        <v>16</v>
      </c>
      <c r="B1" s="11">
        <v>46054</v>
      </c>
      <c r="C1" s="11">
        <v>46082</v>
      </c>
    </row>
    <row r="2" spans="1:3" x14ac:dyDescent="0.2">
      <c r="A2" t="s">
        <v>20</v>
      </c>
      <c r="B2">
        <v>2514.33</v>
      </c>
      <c r="C2">
        <v>2313.0100000000002</v>
      </c>
    </row>
    <row r="3" spans="1:3" x14ac:dyDescent="0.2">
      <c r="A3" t="s">
        <v>32</v>
      </c>
      <c r="B3">
        <v>863.44999999999993</v>
      </c>
      <c r="C3">
        <v>644.26</v>
      </c>
    </row>
    <row r="4" spans="1:3" x14ac:dyDescent="0.2">
      <c r="A4" t="s">
        <v>25</v>
      </c>
      <c r="B4">
        <v>1314.44</v>
      </c>
      <c r="C4">
        <v>2233.42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96C7"/>
  </sheetPr>
  <dimension ref="B2:I41"/>
  <sheetViews>
    <sheetView topLeftCell="A4" workbookViewId="0">
      <selection activeCell="B4" sqref="B4"/>
    </sheetView>
  </sheetViews>
  <sheetFormatPr baseColWidth="10" defaultColWidth="9.1640625" defaultRowHeight="15" x14ac:dyDescent="0.2"/>
  <cols>
    <col min="1" max="1" width="2.6640625" customWidth="1"/>
    <col min="2" max="2" width="22.6640625" customWidth="1"/>
    <col min="3" max="3" width="17.6640625" customWidth="1"/>
    <col min="4" max="4" width="19.6640625" customWidth="1"/>
    <col min="5" max="6" width="17.6640625" customWidth="1"/>
    <col min="7" max="9" width="15.6640625" customWidth="1"/>
  </cols>
  <sheetData>
    <row r="2" spans="2:9" ht="34" customHeight="1" x14ac:dyDescent="0.2">
      <c r="B2" s="80" t="s">
        <v>0</v>
      </c>
      <c r="C2" s="80"/>
      <c r="D2" s="80"/>
      <c r="E2" s="80"/>
      <c r="F2" s="80"/>
      <c r="G2" s="80"/>
      <c r="H2" s="80"/>
      <c r="I2" s="80"/>
    </row>
    <row r="3" spans="2:9" ht="18" customHeight="1" x14ac:dyDescent="0.2">
      <c r="B3" s="81" t="s">
        <v>162</v>
      </c>
      <c r="C3" s="81"/>
      <c r="D3" s="81"/>
      <c r="E3" s="81"/>
      <c r="F3" s="81"/>
      <c r="G3" s="81"/>
      <c r="H3" s="81"/>
      <c r="I3" s="81"/>
    </row>
    <row r="5" spans="2:9" ht="22" customHeight="1" x14ac:dyDescent="0.2">
      <c r="B5" s="82" t="s">
        <v>1</v>
      </c>
      <c r="C5" s="83"/>
      <c r="D5" s="83"/>
      <c r="E5" s="83"/>
      <c r="F5" s="83"/>
      <c r="G5" s="83"/>
      <c r="H5" s="83"/>
      <c r="I5" s="83"/>
    </row>
    <row r="6" spans="2:9" ht="18" customHeight="1" x14ac:dyDescent="0.2">
      <c r="B6" s="29" t="s">
        <v>2</v>
      </c>
      <c r="C6" s="29" t="s">
        <v>20</v>
      </c>
      <c r="D6" s="29" t="s">
        <v>163</v>
      </c>
      <c r="E6" s="29" t="s">
        <v>25</v>
      </c>
      <c r="F6" s="29" t="s">
        <v>164</v>
      </c>
      <c r="G6" s="29" t="s">
        <v>165</v>
      </c>
      <c r="H6" s="29" t="s">
        <v>166</v>
      </c>
      <c r="I6" s="37" t="s">
        <v>167</v>
      </c>
    </row>
    <row r="7" spans="2:9" ht="17" customHeight="1" x14ac:dyDescent="0.2">
      <c r="B7" s="30" t="s">
        <v>168</v>
      </c>
      <c r="C7" s="33">
        <f>SUMIF('February 2026'!G:G,"Groceries",'February 2026'!C:C)</f>
        <v>4337.82</v>
      </c>
      <c r="D7" s="33">
        <f>SUMIF('February 2026'!G:G,"Dine Out/Takeaways",'February 2026'!C:C)</f>
        <v>1224.9000000000001</v>
      </c>
      <c r="E7" s="33">
        <f>SUMIF('February 2026'!G:G,"Entertainment",'February 2026'!C:C)</f>
        <v>2117.69</v>
      </c>
      <c r="F7" s="34">
        <f>SUM('February 2026'!C:C)</f>
        <v>7680.4099999999989</v>
      </c>
      <c r="G7" s="35">
        <f>COUNTA('February 2026'!B2:B500)</f>
        <v>61</v>
      </c>
      <c r="H7" s="36">
        <f>SUMIF('February 2026'!E:E,"No",'February 2026'!D:D)</f>
        <v>0</v>
      </c>
      <c r="I7" s="42">
        <f>SUMIF('February 2026'!F:F,"No",'February 2026'!D:D)</f>
        <v>0</v>
      </c>
    </row>
    <row r="8" spans="2:9" ht="17" customHeight="1" x14ac:dyDescent="0.2">
      <c r="B8" s="38" t="s">
        <v>169</v>
      </c>
      <c r="C8" s="39">
        <f>SUMIF('March 2026'!G:G,"Groceries",'March 2026'!C:C)</f>
        <v>1319.27</v>
      </c>
      <c r="D8" s="39">
        <f>SUMIF('March 2026'!G:G,"Dine Out/Takeaways",'March 2026'!C:C)</f>
        <v>2062.21</v>
      </c>
      <c r="E8" s="39">
        <f>SUMIF('March 2026'!G:G,"Entertainment",'March 2026'!C:C)</f>
        <v>3424.8500000000004</v>
      </c>
      <c r="F8" s="40">
        <f>SUM('March 2026'!C:C)</f>
        <v>6806.329999999999</v>
      </c>
      <c r="G8" s="41">
        <f>COUNTA('March 2026'!B2:B500)</f>
        <v>62</v>
      </c>
      <c r="H8" s="36">
        <f>SUMIF('March 2026'!E:E,"No",'March 2026'!D:D)</f>
        <v>0</v>
      </c>
      <c r="I8" s="42">
        <f>SUMIF('March 2026'!F:F,"No",'March 2026'!D:D)</f>
        <v>0</v>
      </c>
    </row>
    <row r="9" spans="2:9" ht="17" customHeight="1" x14ac:dyDescent="0.2">
      <c r="B9" s="30" t="s">
        <v>170</v>
      </c>
      <c r="C9" s="33">
        <f>SUMIF('April 2026'!G:G,"Groceries",'April 2026'!C:C)</f>
        <v>1653.6899999999998</v>
      </c>
      <c r="D9" s="33">
        <f>SUMIF('April 2026'!G:G,"Dine Out/Takeaways",'April 2026'!C:C)</f>
        <v>5520.2599999999993</v>
      </c>
      <c r="E9" s="33">
        <f>SUMIF('April 2026'!G:G,"Entertainment",'April 2026'!C:C)</f>
        <v>1228.71</v>
      </c>
      <c r="F9" s="34">
        <f>SUM('April 2026'!C:C)</f>
        <v>8402.6600000000017</v>
      </c>
      <c r="G9" s="35">
        <f>COUNTA('April 2026'!B2:B500)</f>
        <v>65</v>
      </c>
      <c r="H9" s="36">
        <f>SUMIF('April 2026'!E:E,"No",'April 2026'!D:D)</f>
        <v>0</v>
      </c>
      <c r="I9" s="42">
        <f>SUMIF('April 2026'!F:F,"No",'April 2026'!D:D)</f>
        <v>0</v>
      </c>
    </row>
    <row r="10" spans="2:9" ht="17" customHeight="1" x14ac:dyDescent="0.2">
      <c r="B10" s="38" t="s">
        <v>171</v>
      </c>
      <c r="C10" s="39">
        <f>SUMIF('May 2026'!G:G,"Groceries",'May 2026'!C:C)</f>
        <v>1217.0800000000002</v>
      </c>
      <c r="D10" s="39">
        <f>SUMIF('May 2026'!G:G,"Dine Out/Takeaways",'May 2026'!C:C)</f>
        <v>1315.33</v>
      </c>
      <c r="E10" s="39">
        <f>SUMIF('May 2026'!G:G,"Entertainment",'May 2026'!C:C)</f>
        <v>1065.8200000000002</v>
      </c>
      <c r="F10" s="40">
        <f>SUM('May 2026'!C:C)</f>
        <v>3598.2299999999987</v>
      </c>
      <c r="G10" s="41">
        <f>COUNTA('May 2026'!B2:B500)</f>
        <v>39</v>
      </c>
      <c r="H10" s="36">
        <f>SUMIF('May 2026'!E:E,"No",'May 2026'!D:D)</f>
        <v>0</v>
      </c>
      <c r="I10" s="42">
        <f>SUMIF('May 2026'!F:F,"No",'May 2026'!D:D)</f>
        <v>1799.1200000000001</v>
      </c>
    </row>
    <row r="11" spans="2:9" ht="19" customHeight="1" x14ac:dyDescent="0.2">
      <c r="B11" s="43" t="s">
        <v>172</v>
      </c>
      <c r="C11" s="44">
        <f t="shared" ref="C11:I11" si="0">SUM(C7:C10)</f>
        <v>8527.86</v>
      </c>
      <c r="D11" s="44">
        <f t="shared" si="0"/>
        <v>10122.699999999999</v>
      </c>
      <c r="E11" s="44">
        <f t="shared" si="0"/>
        <v>7837.0700000000015</v>
      </c>
      <c r="F11" s="44">
        <f t="shared" si="0"/>
        <v>26487.63</v>
      </c>
      <c r="G11" s="46">
        <f t="shared" si="0"/>
        <v>227</v>
      </c>
      <c r="H11" s="47">
        <f t="shared" si="0"/>
        <v>0</v>
      </c>
      <c r="I11" s="48">
        <f t="shared" si="0"/>
        <v>1799.1200000000001</v>
      </c>
    </row>
    <row r="12" spans="2:9" ht="22" customHeight="1" x14ac:dyDescent="0.2"/>
    <row r="13" spans="2:9" ht="22" customHeight="1" x14ac:dyDescent="0.2">
      <c r="B13" s="82" t="s">
        <v>173</v>
      </c>
      <c r="C13" s="83"/>
      <c r="D13" s="83"/>
      <c r="E13" s="83"/>
      <c r="F13" s="83"/>
      <c r="G13" s="83"/>
      <c r="H13" s="83"/>
      <c r="I13" s="83"/>
    </row>
    <row r="14" spans="2:9" ht="18" customHeight="1" x14ac:dyDescent="0.2">
      <c r="B14" s="29" t="s">
        <v>16</v>
      </c>
      <c r="C14" s="49">
        <v>46054</v>
      </c>
      <c r="D14" s="49">
        <v>46082</v>
      </c>
      <c r="E14" s="49">
        <v>46113</v>
      </c>
      <c r="F14" s="29" t="s">
        <v>174</v>
      </c>
      <c r="G14" s="29" t="s">
        <v>175</v>
      </c>
      <c r="H14" s="37" t="s">
        <v>33</v>
      </c>
    </row>
    <row r="15" spans="2:9" ht="17" customHeight="1" x14ac:dyDescent="0.2">
      <c r="B15" s="50" t="s">
        <v>4</v>
      </c>
      <c r="C15" s="51">
        <f>SUMIF('February 2026'!G:G,"Groceries",'February 2026'!C:C)</f>
        <v>4337.82</v>
      </c>
      <c r="D15" s="51">
        <f>SUMIF('March 2026'!G:G,"Groceries",'March 2026'!C:C)</f>
        <v>1319.27</v>
      </c>
      <c r="E15" s="51">
        <f>SUMIF('April 2026'!G:G,"Groceries",'April 2026'!C:C)</f>
        <v>1653.6899999999998</v>
      </c>
      <c r="F15" s="51">
        <f>SUMIF('May 2026'!G:G,"Groceries",'May 2026'!C:C)</f>
        <v>1217.0800000000002</v>
      </c>
      <c r="G15" s="52">
        <f>SUM(C15:F15)</f>
        <v>8527.86</v>
      </c>
      <c r="H15" s="60">
        <f>IFERROR(G15/G18,0)</f>
        <v>0.32195632451827516</v>
      </c>
    </row>
    <row r="16" spans="2:9" ht="17" customHeight="1" x14ac:dyDescent="0.2">
      <c r="B16" s="53" t="s">
        <v>5</v>
      </c>
      <c r="C16" s="54">
        <f>SUMIF('February 2026'!G:G,"Dine Out/Takeaways",'February 2026'!C:C)</f>
        <v>1224.9000000000001</v>
      </c>
      <c r="D16" s="54">
        <f>SUMIF('March 2026'!G:G,"Dine Out/Takeaways",'March 2026'!C:C)</f>
        <v>2062.21</v>
      </c>
      <c r="E16" s="54">
        <f>SUMIF('April 2026'!G:G,"Dine Out/Takeaways",'April 2026'!C:C)</f>
        <v>5520.2599999999993</v>
      </c>
      <c r="F16" s="54">
        <f>SUMIF('May 2026'!G:G,"Dine Out/Takeaways",'May 2026'!C:C)</f>
        <v>1315.33</v>
      </c>
      <c r="G16" s="55">
        <f>SUM(C16:F16)</f>
        <v>10122.699999999999</v>
      </c>
      <c r="H16" s="60">
        <f>IFERROR(G16/G18,0)</f>
        <v>0.38216707195018956</v>
      </c>
    </row>
    <row r="17" spans="2:9" ht="17" customHeight="1" x14ac:dyDescent="0.2">
      <c r="B17" s="56" t="s">
        <v>6</v>
      </c>
      <c r="C17" s="57">
        <f>SUMIF('February 2026'!G:G,"Entertainment",'February 2026'!C:C)</f>
        <v>2117.69</v>
      </c>
      <c r="D17" s="57">
        <f>SUMIF('March 2026'!G:G,"Entertainment",'March 2026'!C:C)</f>
        <v>3424.8500000000004</v>
      </c>
      <c r="E17" s="57">
        <f>SUMIF('April 2026'!G:G,"Entertainment",'April 2026'!C:C)</f>
        <v>1228.71</v>
      </c>
      <c r="F17" s="57">
        <f>SUMIF('May 2026'!G:G,"Entertainment",'May 2026'!C:C)</f>
        <v>1065.8200000000002</v>
      </c>
      <c r="G17" s="58">
        <f>SUM(C17:F17)</f>
        <v>7837.0700000000015</v>
      </c>
      <c r="H17" s="59">
        <f>IFERROR(G17/G18,0)</f>
        <v>0.29587660353153539</v>
      </c>
    </row>
    <row r="18" spans="2:9" ht="19" customHeight="1" x14ac:dyDescent="0.2">
      <c r="B18" s="43" t="s">
        <v>172</v>
      </c>
      <c r="C18" s="44">
        <f>SUM(C15:C17)</f>
        <v>7680.41</v>
      </c>
      <c r="D18" s="44">
        <f>SUM(D15:D17)</f>
        <v>6806.33</v>
      </c>
      <c r="E18" s="44">
        <f>SUM(E15:E17)</f>
        <v>8402.66</v>
      </c>
      <c r="F18" s="44">
        <f>SUM(F15:F17)</f>
        <v>3598.23</v>
      </c>
      <c r="G18" s="45">
        <f>SUM(G15:G17)</f>
        <v>26487.629999999997</v>
      </c>
    </row>
    <row r="19" spans="2:9" ht="17" customHeight="1" x14ac:dyDescent="0.2"/>
    <row r="20" spans="2:9" ht="22" customHeight="1" x14ac:dyDescent="0.2">
      <c r="B20" s="82" t="s">
        <v>176</v>
      </c>
      <c r="C20" s="83"/>
      <c r="D20" s="83"/>
      <c r="E20" s="83"/>
      <c r="F20" s="83"/>
      <c r="G20" s="83"/>
      <c r="H20" s="83"/>
      <c r="I20" s="83"/>
    </row>
    <row r="21" spans="2:9" ht="18" customHeight="1" x14ac:dyDescent="0.2">
      <c r="B21" s="29" t="s">
        <v>2</v>
      </c>
      <c r="C21" s="29" t="s">
        <v>177</v>
      </c>
      <c r="D21" s="29" t="s">
        <v>178</v>
      </c>
      <c r="E21" s="29" t="s">
        <v>179</v>
      </c>
      <c r="F21" s="61"/>
      <c r="G21" s="61"/>
      <c r="H21" s="61"/>
      <c r="I21" s="62"/>
    </row>
    <row r="22" spans="2:9" ht="17" customHeight="1" x14ac:dyDescent="0.2">
      <c r="B22" s="30" t="s">
        <v>168</v>
      </c>
      <c r="C22" s="65">
        <f>SUMIF('February 2026'!E:E,"No",'February 2026'!D:D)</f>
        <v>0</v>
      </c>
      <c r="D22" s="65">
        <f>SUMIF('February 2026'!F:F,"No",'February 2026'!D:D)</f>
        <v>0</v>
      </c>
      <c r="E22" s="36">
        <f>C22+D22</f>
        <v>0</v>
      </c>
      <c r="F22" s="30"/>
      <c r="G22" s="30"/>
      <c r="H22" s="30"/>
      <c r="I22" s="63"/>
    </row>
    <row r="23" spans="2:9" ht="17" customHeight="1" x14ac:dyDescent="0.2">
      <c r="B23" s="38" t="s">
        <v>169</v>
      </c>
      <c r="C23" s="65">
        <f>SUMIF('March 2026'!E:E,"No",'March 2026'!D:D)</f>
        <v>0</v>
      </c>
      <c r="D23" s="65">
        <f>SUMIF('March 2026'!F:F,"No",'March 2026'!D:D)</f>
        <v>0</v>
      </c>
      <c r="E23" s="36">
        <f>C23+D23</f>
        <v>0</v>
      </c>
      <c r="F23" s="38"/>
      <c r="G23" s="38"/>
      <c r="H23" s="38"/>
      <c r="I23" s="64"/>
    </row>
    <row r="24" spans="2:9" ht="17" customHeight="1" x14ac:dyDescent="0.2">
      <c r="B24" s="30" t="s">
        <v>170</v>
      </c>
      <c r="C24" s="65">
        <f>SUMIF('April 2026'!E:E,"No",'April 2026'!D:D)</f>
        <v>0</v>
      </c>
      <c r="D24" s="65">
        <f>SUMIF('April 2026'!F:F,"No",'April 2026'!D:D)</f>
        <v>0</v>
      </c>
      <c r="E24" s="36">
        <f>C24+D24</f>
        <v>0</v>
      </c>
      <c r="F24" s="30"/>
      <c r="G24" s="30"/>
      <c r="H24" s="30"/>
      <c r="I24" s="63"/>
    </row>
    <row r="25" spans="2:9" ht="17" customHeight="1" x14ac:dyDescent="0.2">
      <c r="B25" s="38" t="s">
        <v>171</v>
      </c>
      <c r="C25" s="65">
        <f>SUMIF('May 2026'!E:E,"No",'May 2026'!D:D)</f>
        <v>0</v>
      </c>
      <c r="D25" s="65">
        <f>SUMIF('May 2026'!F:F,"No",'May 2026'!D:D)</f>
        <v>1799.1200000000001</v>
      </c>
      <c r="E25" s="36">
        <f>C25+D25</f>
        <v>1799.1200000000001</v>
      </c>
      <c r="F25" s="38"/>
      <c r="G25" s="38"/>
      <c r="H25" s="38"/>
      <c r="I25" s="64"/>
    </row>
    <row r="26" spans="2:9" ht="19" customHeight="1" x14ac:dyDescent="0.2">
      <c r="B26" s="43" t="s">
        <v>9</v>
      </c>
      <c r="C26" s="47">
        <f>SUM(C22:C25)</f>
        <v>0</v>
      </c>
      <c r="D26" s="47">
        <f>SUM(D22:D25)</f>
        <v>1799.1200000000001</v>
      </c>
      <c r="E26" s="47">
        <f>C26+D26</f>
        <v>1799.1200000000001</v>
      </c>
      <c r="F26" s="66"/>
      <c r="G26" s="66"/>
      <c r="H26" s="66"/>
      <c r="I26" s="67"/>
    </row>
    <row r="27" spans="2:9" ht="17" customHeight="1" x14ac:dyDescent="0.2"/>
    <row r="28" spans="2:9" ht="22" customHeight="1" x14ac:dyDescent="0.2">
      <c r="B28" s="82" t="s">
        <v>180</v>
      </c>
      <c r="C28" s="83"/>
      <c r="D28" s="83"/>
      <c r="E28" s="83"/>
      <c r="F28" s="83"/>
      <c r="G28" s="83"/>
      <c r="H28" s="83"/>
      <c r="I28" s="83"/>
    </row>
    <row r="29" spans="2:9" ht="18" customHeight="1" x14ac:dyDescent="0.2">
      <c r="B29" s="29" t="s">
        <v>39</v>
      </c>
      <c r="C29" s="29" t="s">
        <v>40</v>
      </c>
      <c r="D29" s="29" t="s">
        <v>181</v>
      </c>
      <c r="E29" s="61"/>
      <c r="F29" s="61"/>
      <c r="G29" s="61"/>
      <c r="H29" s="61"/>
      <c r="I29" s="62"/>
    </row>
    <row r="30" spans="2:9" ht="17" customHeight="1" x14ac:dyDescent="0.2">
      <c r="B30" s="68" t="s">
        <v>182</v>
      </c>
      <c r="C30" s="70">
        <f>F11</f>
        <v>26487.63</v>
      </c>
      <c r="D30" s="72" t="s">
        <v>183</v>
      </c>
      <c r="E30" s="30"/>
      <c r="F30" s="30"/>
      <c r="G30" s="30"/>
      <c r="H30" s="30"/>
      <c r="I30" s="63"/>
    </row>
    <row r="31" spans="2:9" ht="17" customHeight="1" x14ac:dyDescent="0.2">
      <c r="B31" s="68" t="s">
        <v>184</v>
      </c>
      <c r="C31" s="73">
        <f>F11/4</f>
        <v>6621.9075000000003</v>
      </c>
      <c r="D31" s="74" t="s">
        <v>185</v>
      </c>
      <c r="E31" s="38"/>
      <c r="F31" s="38"/>
      <c r="G31" s="38"/>
      <c r="H31" s="38"/>
      <c r="I31" s="64"/>
    </row>
    <row r="32" spans="2:9" ht="17" customHeight="1" x14ac:dyDescent="0.2">
      <c r="B32" s="68" t="s">
        <v>186</v>
      </c>
      <c r="C32" s="75">
        <f>G11</f>
        <v>227</v>
      </c>
      <c r="D32" s="72" t="s">
        <v>187</v>
      </c>
      <c r="E32" s="30"/>
      <c r="F32" s="30"/>
      <c r="G32" s="30"/>
      <c r="H32" s="30"/>
      <c r="I32" s="63"/>
    </row>
    <row r="33" spans="2:9" ht="17" customHeight="1" x14ac:dyDescent="0.2">
      <c r="B33" s="68" t="s">
        <v>188</v>
      </c>
      <c r="C33" s="73">
        <f>G15</f>
        <v>8527.86</v>
      </c>
      <c r="D33" s="76">
        <f>IFERROR(G15/F11,0)</f>
        <v>0.32195632451827516</v>
      </c>
      <c r="E33" s="38"/>
      <c r="F33" s="38"/>
      <c r="G33" s="38"/>
      <c r="H33" s="38"/>
      <c r="I33" s="64"/>
    </row>
    <row r="34" spans="2:9" ht="17" customHeight="1" x14ac:dyDescent="0.2">
      <c r="B34" s="68" t="s">
        <v>189</v>
      </c>
      <c r="C34" s="77">
        <f>G16</f>
        <v>10122.699999999999</v>
      </c>
      <c r="D34" s="79">
        <f>IFERROR(G16/F11,0)</f>
        <v>0.38216707195018951</v>
      </c>
      <c r="E34" s="30"/>
      <c r="F34" s="30"/>
      <c r="G34" s="30"/>
      <c r="H34" s="30"/>
      <c r="I34" s="63"/>
    </row>
    <row r="35" spans="2:9" ht="17" customHeight="1" x14ac:dyDescent="0.2">
      <c r="B35" s="68" t="s">
        <v>190</v>
      </c>
      <c r="C35" s="73">
        <f>G17</f>
        <v>7837.0700000000015</v>
      </c>
      <c r="D35" s="76">
        <f>IFERROR(G17/F11,0)</f>
        <v>0.29587660353153533</v>
      </c>
      <c r="E35" s="38"/>
      <c r="F35" s="38"/>
      <c r="G35" s="38"/>
      <c r="H35" s="38"/>
      <c r="I35" s="64"/>
    </row>
    <row r="36" spans="2:9" ht="17" customHeight="1" x14ac:dyDescent="0.2">
      <c r="B36" s="69" t="s">
        <v>191</v>
      </c>
      <c r="C36" s="78">
        <f>E26</f>
        <v>1799.1200000000001</v>
      </c>
      <c r="D36" s="71" t="s">
        <v>192</v>
      </c>
      <c r="E36" s="31"/>
      <c r="F36" s="31"/>
      <c r="G36" s="31"/>
      <c r="H36" s="31"/>
      <c r="I36" s="32"/>
    </row>
    <row r="37" spans="2:9" ht="16" customHeight="1" x14ac:dyDescent="0.2"/>
    <row r="38" spans="2:9" ht="16" customHeight="1" x14ac:dyDescent="0.2"/>
    <row r="39" spans="2:9" ht="16" customHeight="1" x14ac:dyDescent="0.2"/>
    <row r="40" spans="2:9" ht="16" customHeight="1" x14ac:dyDescent="0.2"/>
    <row r="41" spans="2:9" ht="20" customHeight="1" x14ac:dyDescent="0.2"/>
  </sheetData>
  <mergeCells count="6">
    <mergeCell ref="B28:I28"/>
    <mergeCell ref="B2:I2"/>
    <mergeCell ref="B3:I3"/>
    <mergeCell ref="B5:I5"/>
    <mergeCell ref="B13:I13"/>
    <mergeCell ref="B20:I20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NewMonth">
                <anchor moveWithCells="1" sizeWithCells="1">
                  <from>
                    <xdr:col>9</xdr:col>
                    <xdr:colOff>203200</xdr:colOff>
                    <xdr:row>31</xdr:row>
                    <xdr:rowOff>12700</xdr:rowOff>
                  </from>
                  <to>
                    <xdr:col>12</xdr:col>
                    <xdr:colOff>25400</xdr:colOff>
                    <xdr:row>32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96C7"/>
  </sheetPr>
  <dimension ref="A1:K62"/>
  <sheetViews>
    <sheetView workbookViewId="0">
      <pane ySplit="1" topLeftCell="A2" activePane="bottomLeft" state="frozen"/>
      <selection pane="bottomLeft" activeCell="A4" sqref="A4"/>
    </sheetView>
  </sheetViews>
  <sheetFormatPr baseColWidth="10" defaultColWidth="8.83203125" defaultRowHeight="15" x14ac:dyDescent="0.2"/>
  <cols>
    <col min="1" max="1" width="12" customWidth="1"/>
    <col min="2" max="2" width="30" customWidth="1"/>
    <col min="3" max="4" width="14" customWidth="1"/>
    <col min="5" max="6" width="11" customWidth="1"/>
    <col min="7" max="7" width="20" customWidth="1"/>
    <col min="8" max="8" width="3" customWidth="1"/>
    <col min="9" max="9" width="22" customWidth="1"/>
    <col min="10" max="11" width="14" customWidth="1"/>
  </cols>
  <sheetData>
    <row r="1" spans="1:11" ht="26" customHeight="1" x14ac:dyDescent="0.2">
      <c r="A1" s="5" t="s">
        <v>10</v>
      </c>
      <c r="B1" s="5" t="s">
        <v>11</v>
      </c>
      <c r="C1" s="5" t="s">
        <v>12</v>
      </c>
      <c r="D1" s="5" t="s">
        <v>13</v>
      </c>
      <c r="E1" s="5" t="s">
        <v>14</v>
      </c>
      <c r="F1" s="5" t="s">
        <v>15</v>
      </c>
      <c r="G1" s="5" t="s">
        <v>16</v>
      </c>
      <c r="I1" s="86" t="s">
        <v>17</v>
      </c>
      <c r="J1" s="87"/>
      <c r="K1" s="88"/>
    </row>
    <row r="2" spans="1:11" ht="17" customHeight="1" x14ac:dyDescent="0.2">
      <c r="A2" s="27">
        <v>46054</v>
      </c>
      <c r="B2" s="24" t="s">
        <v>18</v>
      </c>
      <c r="C2" s="28">
        <v>398.81</v>
      </c>
      <c r="D2" s="28">
        <f>C2/2</f>
        <v>199.405</v>
      </c>
      <c r="E2" s="24" t="s">
        <v>19</v>
      </c>
      <c r="F2" s="24" t="s">
        <v>19</v>
      </c>
      <c r="G2" s="24" t="s">
        <v>20</v>
      </c>
      <c r="I2" s="1"/>
      <c r="J2" s="1" t="s">
        <v>21</v>
      </c>
      <c r="K2" s="1" t="s">
        <v>22</v>
      </c>
    </row>
    <row r="3" spans="1:11" ht="17" customHeight="1" x14ac:dyDescent="0.2">
      <c r="A3" s="27">
        <v>46054</v>
      </c>
      <c r="B3" s="24" t="s">
        <v>29</v>
      </c>
      <c r="C3" s="28">
        <v>154.19999999999999</v>
      </c>
      <c r="D3" s="28">
        <f>C3/2</f>
        <v>77.099999999999994</v>
      </c>
      <c r="E3" s="24" t="s">
        <v>19</v>
      </c>
      <c r="F3" s="24" t="s">
        <v>19</v>
      </c>
      <c r="G3" s="24" t="s">
        <v>20</v>
      </c>
      <c r="I3" s="2" t="s">
        <v>8</v>
      </c>
      <c r="J3" s="3">
        <f>SUM(C2:C62)/2</f>
        <v>3840.2049999999995</v>
      </c>
      <c r="K3" s="3">
        <f>SUMIF(E2:E43,"No",D2:D43)</f>
        <v>0</v>
      </c>
    </row>
    <row r="4" spans="1:11" ht="17" customHeight="1" x14ac:dyDescent="0.2">
      <c r="A4" s="27">
        <v>46054</v>
      </c>
      <c r="B4" s="24" t="s">
        <v>29</v>
      </c>
      <c r="C4" s="28">
        <v>52.95</v>
      </c>
      <c r="D4" s="28">
        <f>C4/2</f>
        <v>26.475000000000001</v>
      </c>
      <c r="E4" s="24" t="s">
        <v>19</v>
      </c>
      <c r="F4" s="24" t="s">
        <v>19</v>
      </c>
      <c r="G4" s="24" t="s">
        <v>20</v>
      </c>
      <c r="I4" s="2" t="s">
        <v>7</v>
      </c>
      <c r="J4" s="3">
        <f>SUM(C2:C62)/2</f>
        <v>3840.2049999999995</v>
      </c>
      <c r="K4" s="3">
        <f>SUMIF(F2:F43,"No",D2:D43)</f>
        <v>0</v>
      </c>
    </row>
    <row r="5" spans="1:11" ht="17" customHeight="1" x14ac:dyDescent="0.2">
      <c r="A5" s="27">
        <v>46054</v>
      </c>
      <c r="B5" s="24" t="s">
        <v>36</v>
      </c>
      <c r="C5" s="28">
        <v>129.63</v>
      </c>
      <c r="D5" s="28">
        <f>C5/2</f>
        <v>64.814999999999998</v>
      </c>
      <c r="E5" s="24" t="s">
        <v>19</v>
      </c>
      <c r="F5" s="24" t="s">
        <v>19</v>
      </c>
      <c r="G5" s="24" t="s">
        <v>20</v>
      </c>
      <c r="I5" s="2" t="s">
        <v>3</v>
      </c>
      <c r="J5" s="4">
        <f>J3+J4</f>
        <v>7680.4099999999989</v>
      </c>
      <c r="K5" s="6"/>
    </row>
    <row r="6" spans="1:11" ht="16" customHeight="1" x14ac:dyDescent="0.2">
      <c r="A6" s="27">
        <v>46054</v>
      </c>
      <c r="B6" s="24" t="s">
        <v>38</v>
      </c>
      <c r="C6" s="28">
        <v>116</v>
      </c>
      <c r="D6" s="28">
        <f>C6/2</f>
        <v>58</v>
      </c>
      <c r="E6" s="24" t="s">
        <v>19</v>
      </c>
      <c r="F6" s="24" t="s">
        <v>19</v>
      </c>
      <c r="G6" s="24" t="s">
        <v>25</v>
      </c>
    </row>
    <row r="7" spans="1:11" ht="22" customHeight="1" x14ac:dyDescent="0.2">
      <c r="A7" s="27">
        <v>46054</v>
      </c>
      <c r="B7" s="24" t="s">
        <v>57</v>
      </c>
      <c r="C7" s="28">
        <v>15</v>
      </c>
      <c r="D7" s="28">
        <f>C7/2</f>
        <v>7.5</v>
      </c>
      <c r="E7" s="24" t="s">
        <v>19</v>
      </c>
      <c r="F7" s="24" t="s">
        <v>19</v>
      </c>
      <c r="G7" s="24" t="s">
        <v>25</v>
      </c>
      <c r="I7" s="86" t="s">
        <v>30</v>
      </c>
      <c r="J7" s="87"/>
      <c r="K7" s="88"/>
    </row>
    <row r="8" spans="1:11" ht="17" customHeight="1" x14ac:dyDescent="0.2">
      <c r="A8" s="27">
        <v>46054</v>
      </c>
      <c r="B8" s="24" t="s">
        <v>58</v>
      </c>
      <c r="C8" s="28">
        <v>5.99</v>
      </c>
      <c r="D8" s="28">
        <f>C8/2</f>
        <v>2.9950000000000001</v>
      </c>
      <c r="E8" s="24" t="s">
        <v>19</v>
      </c>
      <c r="F8" s="24" t="s">
        <v>19</v>
      </c>
      <c r="G8" s="24" t="s">
        <v>20</v>
      </c>
      <c r="I8" s="1" t="s">
        <v>16</v>
      </c>
      <c r="J8" s="1" t="s">
        <v>12</v>
      </c>
      <c r="K8" s="1" t="s">
        <v>33</v>
      </c>
    </row>
    <row r="9" spans="1:11" ht="17" customHeight="1" x14ac:dyDescent="0.2">
      <c r="A9" s="27">
        <v>46054</v>
      </c>
      <c r="B9" s="24" t="s">
        <v>46</v>
      </c>
      <c r="C9" s="28">
        <v>102.45</v>
      </c>
      <c r="D9" s="28">
        <f>C9/2</f>
        <v>51.225000000000001</v>
      </c>
      <c r="E9" s="24" t="s">
        <v>19</v>
      </c>
      <c r="F9" s="24" t="s">
        <v>19</v>
      </c>
      <c r="G9" s="24" t="s">
        <v>32</v>
      </c>
      <c r="I9" s="7" t="s">
        <v>4</v>
      </c>
      <c r="J9" s="3">
        <f>SUMIF(G2:G43,"Groceries",C2:C43)</f>
        <v>2514.33</v>
      </c>
      <c r="K9" s="8">
        <f>IFERROR(J9/J5,"—")</f>
        <v>0.32736924200661166</v>
      </c>
    </row>
    <row r="10" spans="1:11" ht="17" customHeight="1" x14ac:dyDescent="0.2">
      <c r="A10" s="27">
        <v>46054</v>
      </c>
      <c r="B10" s="24" t="s">
        <v>46</v>
      </c>
      <c r="C10" s="28">
        <v>101.05</v>
      </c>
      <c r="D10" s="28">
        <f>C10/2</f>
        <v>50.524999999999999</v>
      </c>
      <c r="E10" s="24" t="s">
        <v>19</v>
      </c>
      <c r="F10" s="24" t="s">
        <v>19</v>
      </c>
      <c r="G10" s="24" t="s">
        <v>32</v>
      </c>
      <c r="I10" s="9" t="s">
        <v>5</v>
      </c>
      <c r="J10" s="3">
        <f>SUMIF(G2:G43,"Dine Out/Takeaways",C2:C43)</f>
        <v>863.44999999999993</v>
      </c>
      <c r="K10" s="8">
        <f>IFERROR(J10/J5,"—")</f>
        <v>0.11242238370087014</v>
      </c>
    </row>
    <row r="11" spans="1:11" ht="17" customHeight="1" x14ac:dyDescent="0.2">
      <c r="A11" s="27">
        <v>46056</v>
      </c>
      <c r="B11" s="24" t="s">
        <v>36</v>
      </c>
      <c r="C11" s="28">
        <v>85.68</v>
      </c>
      <c r="D11" s="28">
        <f>C11/2</f>
        <v>42.84</v>
      </c>
      <c r="E11" s="24" t="s">
        <v>19</v>
      </c>
      <c r="F11" s="24" t="s">
        <v>19</v>
      </c>
      <c r="G11" s="24" t="s">
        <v>20</v>
      </c>
      <c r="I11" s="10" t="s">
        <v>6</v>
      </c>
      <c r="J11" s="3">
        <f>SUMIF(G2:G43,"Entertainment",C2:C43)</f>
        <v>1314.44</v>
      </c>
      <c r="K11" s="8">
        <f>IFERROR(J11/J5,"—")</f>
        <v>0.17114190518474928</v>
      </c>
    </row>
    <row r="12" spans="1:11" ht="16" customHeight="1" x14ac:dyDescent="0.2">
      <c r="A12" s="27">
        <v>46057</v>
      </c>
      <c r="B12" s="24" t="s">
        <v>55</v>
      </c>
      <c r="C12" s="28">
        <v>51.87</v>
      </c>
      <c r="D12" s="28">
        <f>C12/2</f>
        <v>25.934999999999999</v>
      </c>
      <c r="E12" s="24" t="s">
        <v>19</v>
      </c>
      <c r="F12" s="24" t="s">
        <v>19</v>
      </c>
      <c r="G12" s="24" t="s">
        <v>20</v>
      </c>
    </row>
    <row r="13" spans="1:11" ht="22" customHeight="1" x14ac:dyDescent="0.2">
      <c r="A13" s="27">
        <v>46059</v>
      </c>
      <c r="B13" s="24" t="s">
        <v>29</v>
      </c>
      <c r="C13" s="28">
        <v>160.94999999999999</v>
      </c>
      <c r="D13" s="28">
        <f>C13/2</f>
        <v>80.474999999999994</v>
      </c>
      <c r="E13" s="24" t="s">
        <v>19</v>
      </c>
      <c r="F13" s="24" t="s">
        <v>19</v>
      </c>
      <c r="G13" s="24" t="s">
        <v>20</v>
      </c>
      <c r="I13" s="86" t="s">
        <v>37</v>
      </c>
      <c r="J13" s="87"/>
      <c r="K13" s="88"/>
    </row>
    <row r="14" spans="1:11" ht="17" customHeight="1" x14ac:dyDescent="0.2">
      <c r="A14" s="27">
        <v>46059</v>
      </c>
      <c r="B14" s="24" t="s">
        <v>31</v>
      </c>
      <c r="C14" s="28">
        <v>160.94999999999999</v>
      </c>
      <c r="D14" s="28">
        <f>C14/2</f>
        <v>80.474999999999994</v>
      </c>
      <c r="E14" s="24" t="s">
        <v>19</v>
      </c>
      <c r="F14" s="24" t="s">
        <v>19</v>
      </c>
      <c r="G14" s="24" t="s">
        <v>32</v>
      </c>
      <c r="I14" s="1" t="s">
        <v>39</v>
      </c>
      <c r="J14" s="13" t="s">
        <v>40</v>
      </c>
      <c r="K14" s="13"/>
    </row>
    <row r="15" spans="1:11" ht="17" customHeight="1" x14ac:dyDescent="0.2">
      <c r="A15" s="27">
        <v>46059</v>
      </c>
      <c r="B15" s="24" t="s">
        <v>31</v>
      </c>
      <c r="C15" s="28">
        <v>65.8</v>
      </c>
      <c r="D15" s="28">
        <f>C15/2</f>
        <v>32.9</v>
      </c>
      <c r="E15" s="24" t="s">
        <v>19</v>
      </c>
      <c r="F15" s="24" t="s">
        <v>19</v>
      </c>
      <c r="G15" s="24" t="s">
        <v>32</v>
      </c>
      <c r="I15" s="12" t="s">
        <v>42</v>
      </c>
      <c r="J15" s="84">
        <f>COUNTA(B2:B43)</f>
        <v>42</v>
      </c>
      <c r="K15" s="85"/>
    </row>
    <row r="16" spans="1:11" ht="17" customHeight="1" x14ac:dyDescent="0.2">
      <c r="A16" s="27">
        <v>46060</v>
      </c>
      <c r="B16" s="24" t="s">
        <v>27</v>
      </c>
      <c r="C16" s="28">
        <v>300</v>
      </c>
      <c r="D16" s="28">
        <f>C16/2</f>
        <v>150</v>
      </c>
      <c r="E16" s="24" t="s">
        <v>19</v>
      </c>
      <c r="F16" s="24" t="s">
        <v>19</v>
      </c>
      <c r="G16" s="24" t="s">
        <v>25</v>
      </c>
      <c r="I16" s="12" t="s">
        <v>43</v>
      </c>
      <c r="J16" s="89">
        <f>IFERROR(AVERAGE(C2:C62),0)</f>
        <v>125.90836065573768</v>
      </c>
      <c r="K16" s="85"/>
    </row>
    <row r="17" spans="1:11" ht="17" customHeight="1" x14ac:dyDescent="0.2">
      <c r="A17" s="27">
        <v>46060</v>
      </c>
      <c r="B17" s="24" t="s">
        <v>36</v>
      </c>
      <c r="C17" s="28">
        <v>107.95</v>
      </c>
      <c r="D17" s="28">
        <f>C17/2</f>
        <v>53.975000000000001</v>
      </c>
      <c r="E17" s="24" t="s">
        <v>19</v>
      </c>
      <c r="F17" s="24" t="s">
        <v>19</v>
      </c>
      <c r="G17" s="24" t="s">
        <v>20</v>
      </c>
      <c r="I17" s="12" t="s">
        <v>45</v>
      </c>
      <c r="J17" s="89">
        <f>IFERROR(MAX(C2:C62),0)</f>
        <v>631.74</v>
      </c>
      <c r="K17" s="85"/>
    </row>
    <row r="18" spans="1:11" ht="17" customHeight="1" x14ac:dyDescent="0.2">
      <c r="A18" s="27">
        <v>46060</v>
      </c>
      <c r="B18" s="24" t="s">
        <v>18</v>
      </c>
      <c r="C18" s="28">
        <v>95.4</v>
      </c>
      <c r="D18" s="28">
        <f>C18/2</f>
        <v>47.7</v>
      </c>
      <c r="E18" s="24" t="s">
        <v>19</v>
      </c>
      <c r="F18" s="24" t="s">
        <v>19</v>
      </c>
      <c r="G18" s="24" t="s">
        <v>20</v>
      </c>
      <c r="I18" s="12" t="s">
        <v>47</v>
      </c>
      <c r="J18" s="84">
        <f>COUNTIF(G2:G62,"Groceries")</f>
        <v>31</v>
      </c>
      <c r="K18" s="85"/>
    </row>
    <row r="19" spans="1:11" ht="17" customHeight="1" x14ac:dyDescent="0.2">
      <c r="A19" s="27">
        <v>46061</v>
      </c>
      <c r="B19" s="24" t="s">
        <v>28</v>
      </c>
      <c r="C19" s="28">
        <v>229</v>
      </c>
      <c r="D19" s="28">
        <f>C19/2</f>
        <v>114.5</v>
      </c>
      <c r="E19" s="24" t="s">
        <v>19</v>
      </c>
      <c r="F19" s="24" t="s">
        <v>19</v>
      </c>
      <c r="G19" s="24" t="s">
        <v>20</v>
      </c>
      <c r="I19" s="12" t="s">
        <v>48</v>
      </c>
      <c r="J19" s="84">
        <f>COUNTIF(G2:G62,"Dine Out/Takeaways")</f>
        <v>14</v>
      </c>
      <c r="K19" s="85"/>
    </row>
    <row r="20" spans="1:11" ht="17" customHeight="1" x14ac:dyDescent="0.2">
      <c r="A20" s="27">
        <v>46061</v>
      </c>
      <c r="B20" s="24" t="s">
        <v>51</v>
      </c>
      <c r="C20" s="28">
        <v>98</v>
      </c>
      <c r="D20" s="28">
        <f>C20/2</f>
        <v>49</v>
      </c>
      <c r="E20" s="24" t="s">
        <v>19</v>
      </c>
      <c r="F20" s="24" t="s">
        <v>19</v>
      </c>
      <c r="G20" s="24" t="s">
        <v>25</v>
      </c>
      <c r="I20" s="12" t="s">
        <v>50</v>
      </c>
      <c r="J20" s="84">
        <f>COUNTIF(G2:G62,"Entertainment")</f>
        <v>16</v>
      </c>
      <c r="K20" s="85"/>
    </row>
    <row r="21" spans="1:11" ht="16" customHeight="1" x14ac:dyDescent="0.2">
      <c r="A21" s="27">
        <v>46062</v>
      </c>
      <c r="B21" s="24" t="s">
        <v>54</v>
      </c>
      <c r="C21" s="28">
        <v>59</v>
      </c>
      <c r="D21" s="28">
        <f>C21/2</f>
        <v>29.5</v>
      </c>
      <c r="E21" s="24" t="s">
        <v>19</v>
      </c>
      <c r="F21" s="24" t="s">
        <v>19</v>
      </c>
      <c r="G21" s="24" t="s">
        <v>25</v>
      </c>
    </row>
    <row r="22" spans="1:11" ht="16" customHeight="1" x14ac:dyDescent="0.2">
      <c r="A22" s="27">
        <v>46064</v>
      </c>
      <c r="B22" s="24" t="s">
        <v>52</v>
      </c>
      <c r="C22" s="28">
        <v>63.9</v>
      </c>
      <c r="D22" s="28">
        <f>C22/2</f>
        <v>31.95</v>
      </c>
      <c r="E22" s="24" t="s">
        <v>19</v>
      </c>
      <c r="F22" s="24" t="s">
        <v>19</v>
      </c>
      <c r="G22" s="24" t="s">
        <v>32</v>
      </c>
    </row>
    <row r="23" spans="1:11" ht="16" customHeight="1" x14ac:dyDescent="0.2">
      <c r="A23" s="27">
        <v>46065</v>
      </c>
      <c r="B23" s="24" t="s">
        <v>18</v>
      </c>
      <c r="C23" s="28">
        <v>132</v>
      </c>
      <c r="D23" s="28">
        <f>C23/2</f>
        <v>66</v>
      </c>
      <c r="E23" s="24" t="s">
        <v>19</v>
      </c>
      <c r="F23" s="24" t="s">
        <v>19</v>
      </c>
      <c r="G23" s="24" t="s">
        <v>20</v>
      </c>
    </row>
    <row r="24" spans="1:11" ht="16" customHeight="1" x14ac:dyDescent="0.2">
      <c r="A24" s="27">
        <v>46066</v>
      </c>
      <c r="B24" s="24" t="s">
        <v>44</v>
      </c>
      <c r="C24" s="28">
        <v>105</v>
      </c>
      <c r="D24" s="28">
        <f>C24/2</f>
        <v>52.5</v>
      </c>
      <c r="E24" s="24" t="s">
        <v>19</v>
      </c>
      <c r="F24" s="24" t="s">
        <v>19</v>
      </c>
      <c r="G24" s="24" t="s">
        <v>25</v>
      </c>
    </row>
    <row r="25" spans="1:11" ht="16" customHeight="1" x14ac:dyDescent="0.2">
      <c r="A25" s="27">
        <v>46066</v>
      </c>
      <c r="B25" s="24" t="s">
        <v>52</v>
      </c>
      <c r="C25" s="28">
        <v>63.9</v>
      </c>
      <c r="D25" s="28">
        <f>C25/2</f>
        <v>31.95</v>
      </c>
      <c r="E25" s="24" t="s">
        <v>19</v>
      </c>
      <c r="F25" s="24" t="s">
        <v>19</v>
      </c>
      <c r="G25" s="24" t="s">
        <v>32</v>
      </c>
    </row>
    <row r="26" spans="1:11" ht="16" customHeight="1" x14ac:dyDescent="0.2">
      <c r="A26" s="27">
        <v>46066</v>
      </c>
      <c r="B26" s="24" t="s">
        <v>53</v>
      </c>
      <c r="C26" s="28">
        <v>60</v>
      </c>
      <c r="D26" s="28">
        <f>C26/2</f>
        <v>30</v>
      </c>
      <c r="E26" s="24" t="s">
        <v>19</v>
      </c>
      <c r="F26" s="24" t="s">
        <v>19</v>
      </c>
      <c r="G26" s="24" t="s">
        <v>25</v>
      </c>
    </row>
    <row r="27" spans="1:11" ht="16" customHeight="1" x14ac:dyDescent="0.2">
      <c r="A27" s="27">
        <v>46066</v>
      </c>
      <c r="B27" s="24" t="s">
        <v>56</v>
      </c>
      <c r="C27" s="28">
        <v>20</v>
      </c>
      <c r="D27" s="28">
        <f>C27/2</f>
        <v>10</v>
      </c>
      <c r="E27" s="24" t="s">
        <v>19</v>
      </c>
      <c r="F27" s="24" t="s">
        <v>19</v>
      </c>
      <c r="G27" s="24" t="s">
        <v>25</v>
      </c>
    </row>
    <row r="28" spans="1:11" ht="16" customHeight="1" x14ac:dyDescent="0.2">
      <c r="A28" s="27">
        <v>46067</v>
      </c>
      <c r="B28" s="24" t="s">
        <v>34</v>
      </c>
      <c r="C28" s="28">
        <v>150.44</v>
      </c>
      <c r="D28" s="28">
        <f>C28/2</f>
        <v>75.22</v>
      </c>
      <c r="E28" s="24" t="s">
        <v>19</v>
      </c>
      <c r="F28" s="24" t="s">
        <v>19</v>
      </c>
      <c r="G28" s="24" t="s">
        <v>25</v>
      </c>
    </row>
    <row r="29" spans="1:11" ht="16" customHeight="1" x14ac:dyDescent="0.2">
      <c r="A29" s="27">
        <v>46067</v>
      </c>
      <c r="B29" s="24" t="s">
        <v>29</v>
      </c>
      <c r="C29" s="28">
        <v>91.05</v>
      </c>
      <c r="D29" s="28">
        <f>C29/2</f>
        <v>45.524999999999999</v>
      </c>
      <c r="E29" s="24" t="s">
        <v>19</v>
      </c>
      <c r="F29" s="24" t="s">
        <v>19</v>
      </c>
      <c r="G29" s="24" t="s">
        <v>20</v>
      </c>
    </row>
    <row r="30" spans="1:11" ht="16" customHeight="1" x14ac:dyDescent="0.2">
      <c r="A30" s="27">
        <v>46067</v>
      </c>
      <c r="B30" s="24" t="s">
        <v>29</v>
      </c>
      <c r="C30" s="28">
        <v>82.44</v>
      </c>
      <c r="D30" s="28">
        <f>C30/2</f>
        <v>41.22</v>
      </c>
      <c r="E30" s="24" t="s">
        <v>19</v>
      </c>
      <c r="F30" s="24" t="s">
        <v>19</v>
      </c>
      <c r="G30" s="24" t="s">
        <v>20</v>
      </c>
    </row>
    <row r="31" spans="1:11" ht="16" customHeight="1" x14ac:dyDescent="0.2">
      <c r="A31" s="27">
        <v>46067</v>
      </c>
      <c r="B31" s="24" t="s">
        <v>52</v>
      </c>
      <c r="C31" s="28">
        <v>47.4</v>
      </c>
      <c r="D31" s="28">
        <f>C31/2</f>
        <v>23.7</v>
      </c>
      <c r="E31" s="24" t="s">
        <v>19</v>
      </c>
      <c r="F31" s="24" t="s">
        <v>19</v>
      </c>
      <c r="G31" s="24" t="s">
        <v>32</v>
      </c>
    </row>
    <row r="32" spans="1:11" ht="16" customHeight="1" x14ac:dyDescent="0.2">
      <c r="A32" s="27">
        <v>46068</v>
      </c>
      <c r="B32" s="24" t="s">
        <v>26</v>
      </c>
      <c r="C32" s="28">
        <v>308.04000000000002</v>
      </c>
      <c r="D32" s="28">
        <f>C32/2</f>
        <v>154.02000000000001</v>
      </c>
      <c r="E32" s="24" t="s">
        <v>19</v>
      </c>
      <c r="F32" s="24" t="s">
        <v>19</v>
      </c>
      <c r="G32" s="24" t="s">
        <v>20</v>
      </c>
    </row>
    <row r="33" spans="1:8" ht="16" customHeight="1" x14ac:dyDescent="0.2">
      <c r="A33" s="27">
        <v>46068</v>
      </c>
      <c r="B33" s="24" t="s">
        <v>41</v>
      </c>
      <c r="C33" s="28">
        <v>116</v>
      </c>
      <c r="D33" s="28">
        <f>C33/2</f>
        <v>58</v>
      </c>
      <c r="E33" s="24" t="s">
        <v>19</v>
      </c>
      <c r="F33" s="24" t="s">
        <v>19</v>
      </c>
      <c r="G33" s="24" t="s">
        <v>32</v>
      </c>
    </row>
    <row r="34" spans="1:8" ht="16" customHeight="1" x14ac:dyDescent="0.2">
      <c r="A34" s="27">
        <v>46068</v>
      </c>
      <c r="B34" s="24" t="s">
        <v>31</v>
      </c>
      <c r="C34" s="28">
        <v>92</v>
      </c>
      <c r="D34" s="28">
        <f>C34/2</f>
        <v>46</v>
      </c>
      <c r="E34" s="24" t="s">
        <v>19</v>
      </c>
      <c r="F34" s="24" t="s">
        <v>19</v>
      </c>
      <c r="G34" s="24" t="s">
        <v>32</v>
      </c>
    </row>
    <row r="35" spans="1:8" ht="16" customHeight="1" x14ac:dyDescent="0.2">
      <c r="A35" s="27">
        <v>46068</v>
      </c>
      <c r="B35" s="24" t="s">
        <v>29</v>
      </c>
      <c r="C35" s="28">
        <v>44.12</v>
      </c>
      <c r="D35" s="28">
        <f>C35/2</f>
        <v>22.06</v>
      </c>
      <c r="E35" s="24" t="s">
        <v>19</v>
      </c>
      <c r="F35" s="24" t="s">
        <v>19</v>
      </c>
      <c r="G35" s="24" t="s">
        <v>20</v>
      </c>
    </row>
    <row r="36" spans="1:8" ht="16" customHeight="1" x14ac:dyDescent="0.2">
      <c r="A36" s="27">
        <v>46069</v>
      </c>
      <c r="B36" s="24" t="s">
        <v>35</v>
      </c>
      <c r="C36" s="28">
        <v>142.25</v>
      </c>
      <c r="D36" s="28">
        <f>C36/2</f>
        <v>71.125</v>
      </c>
      <c r="E36" s="24" t="s">
        <v>19</v>
      </c>
      <c r="F36" s="24" t="s">
        <v>19</v>
      </c>
      <c r="G36" s="24" t="s">
        <v>20</v>
      </c>
    </row>
    <row r="37" spans="1:8" ht="16" customHeight="1" x14ac:dyDescent="0.2">
      <c r="A37" s="27">
        <v>46070</v>
      </c>
      <c r="B37" s="24" t="s">
        <v>49</v>
      </c>
      <c r="C37" s="28">
        <v>73</v>
      </c>
      <c r="D37" s="28">
        <f>C37/2</f>
        <v>36.5</v>
      </c>
      <c r="E37" s="24" t="s">
        <v>19</v>
      </c>
      <c r="F37" s="24" t="s">
        <v>19</v>
      </c>
      <c r="G37" s="24" t="s">
        <v>20</v>
      </c>
    </row>
    <row r="38" spans="1:8" ht="16" customHeight="1" x14ac:dyDescent="0.2">
      <c r="A38" s="27">
        <v>46070</v>
      </c>
      <c r="B38" s="24" t="s">
        <v>34</v>
      </c>
      <c r="C38" s="28">
        <v>23</v>
      </c>
      <c r="D38" s="28">
        <f>C38/2</f>
        <v>11.5</v>
      </c>
      <c r="E38" s="24" t="s">
        <v>19</v>
      </c>
      <c r="F38" s="24" t="s">
        <v>19</v>
      </c>
      <c r="G38" s="24" t="s">
        <v>25</v>
      </c>
    </row>
    <row r="39" spans="1:8" ht="16" customHeight="1" x14ac:dyDescent="0.2">
      <c r="A39" s="27">
        <v>46070</v>
      </c>
      <c r="B39" s="24" t="s">
        <v>34</v>
      </c>
      <c r="C39" s="28">
        <v>18</v>
      </c>
      <c r="D39" s="28">
        <f>C39/2</f>
        <v>9</v>
      </c>
      <c r="E39" s="24" t="s">
        <v>19</v>
      </c>
      <c r="F39" s="24" t="s">
        <v>19</v>
      </c>
      <c r="G39" s="24" t="s">
        <v>25</v>
      </c>
    </row>
    <row r="40" spans="1:8" ht="16" customHeight="1" x14ac:dyDescent="0.2">
      <c r="A40" s="27">
        <v>46071</v>
      </c>
      <c r="B40" s="24" t="s">
        <v>49</v>
      </c>
      <c r="C40" s="28">
        <v>101</v>
      </c>
      <c r="D40" s="28">
        <f>C40/2</f>
        <v>50.5</v>
      </c>
      <c r="E40" s="24" t="s">
        <v>19</v>
      </c>
      <c r="F40" s="24" t="s">
        <v>19</v>
      </c>
      <c r="G40" s="24" t="s">
        <v>20</v>
      </c>
    </row>
    <row r="41" spans="1:8" ht="16" customHeight="1" x14ac:dyDescent="0.2">
      <c r="A41" s="27">
        <v>46071</v>
      </c>
      <c r="B41" s="24" t="s">
        <v>29</v>
      </c>
      <c r="C41" s="28">
        <v>68</v>
      </c>
      <c r="D41" s="28">
        <f>C41/2</f>
        <v>34</v>
      </c>
      <c r="E41" s="24" t="s">
        <v>19</v>
      </c>
      <c r="F41" s="24" t="s">
        <v>19</v>
      </c>
      <c r="G41" s="24" t="s">
        <v>20</v>
      </c>
    </row>
    <row r="42" spans="1:8" ht="16" customHeight="1" x14ac:dyDescent="0.2">
      <c r="A42" s="27">
        <v>46073</v>
      </c>
      <c r="B42" s="24" t="s">
        <v>23</v>
      </c>
      <c r="C42" s="28">
        <v>350</v>
      </c>
      <c r="D42" s="28">
        <f>C42/2</f>
        <v>175</v>
      </c>
      <c r="E42" s="24" t="s">
        <v>19</v>
      </c>
      <c r="F42" s="24" t="s">
        <v>19</v>
      </c>
      <c r="G42" s="24" t="s">
        <v>25</v>
      </c>
    </row>
    <row r="43" spans="1:8" ht="16" customHeight="1" x14ac:dyDescent="0.2">
      <c r="A43" s="27">
        <v>46073</v>
      </c>
      <c r="B43" s="24" t="s">
        <v>52</v>
      </c>
      <c r="C43" s="28">
        <v>50</v>
      </c>
      <c r="D43" s="28">
        <f>C43/2</f>
        <v>25</v>
      </c>
      <c r="E43" s="24" t="s">
        <v>19</v>
      </c>
      <c r="F43" s="24" t="s">
        <v>19</v>
      </c>
      <c r="G43" s="24" t="s">
        <v>32</v>
      </c>
    </row>
    <row r="44" spans="1:8" x14ac:dyDescent="0.2">
      <c r="A44" s="27">
        <v>46074</v>
      </c>
      <c r="B44" s="24" t="s">
        <v>59</v>
      </c>
      <c r="C44" s="28">
        <v>206.91</v>
      </c>
      <c r="D44" s="28">
        <f t="shared" ref="D34:D62" si="0">C44/2</f>
        <v>103.455</v>
      </c>
      <c r="E44" s="24" t="s">
        <v>19</v>
      </c>
      <c r="F44" s="24" t="s">
        <v>19</v>
      </c>
      <c r="G44" s="24" t="s">
        <v>20</v>
      </c>
      <c r="H44" s="26"/>
    </row>
    <row r="45" spans="1:8" x14ac:dyDescent="0.2">
      <c r="A45" s="27">
        <v>46074</v>
      </c>
      <c r="B45" s="24" t="s">
        <v>60</v>
      </c>
      <c r="C45" s="28">
        <v>150</v>
      </c>
      <c r="D45" s="28">
        <f t="shared" si="0"/>
        <v>75</v>
      </c>
      <c r="E45" s="24" t="s">
        <v>19</v>
      </c>
      <c r="F45" s="24" t="s">
        <v>19</v>
      </c>
      <c r="G45" s="24" t="s">
        <v>32</v>
      </c>
      <c r="H45" s="26"/>
    </row>
    <row r="46" spans="1:8" x14ac:dyDescent="0.2">
      <c r="A46" s="27">
        <v>46074</v>
      </c>
      <c r="B46" s="24" t="s">
        <v>61</v>
      </c>
      <c r="C46" s="28">
        <v>135.65</v>
      </c>
      <c r="D46" s="28">
        <f t="shared" si="0"/>
        <v>67.825000000000003</v>
      </c>
      <c r="E46" s="24" t="s">
        <v>19</v>
      </c>
      <c r="F46" s="24" t="s">
        <v>19</v>
      </c>
      <c r="G46" s="24" t="s">
        <v>20</v>
      </c>
      <c r="H46" s="26"/>
    </row>
    <row r="47" spans="1:8" x14ac:dyDescent="0.2">
      <c r="A47" s="27">
        <v>46074</v>
      </c>
      <c r="B47" s="24" t="s">
        <v>18</v>
      </c>
      <c r="C47" s="28">
        <v>111.78</v>
      </c>
      <c r="D47" s="28">
        <f t="shared" si="0"/>
        <v>55.89</v>
      </c>
      <c r="E47" s="24" t="s">
        <v>19</v>
      </c>
      <c r="F47" s="24" t="s">
        <v>19</v>
      </c>
      <c r="G47" s="24" t="s">
        <v>20</v>
      </c>
      <c r="H47" s="26"/>
    </row>
    <row r="48" spans="1:8" x14ac:dyDescent="0.2">
      <c r="A48" s="27">
        <v>46075</v>
      </c>
      <c r="B48" s="24" t="s">
        <v>62</v>
      </c>
      <c r="C48" s="28">
        <v>631.74</v>
      </c>
      <c r="D48" s="28">
        <f t="shared" si="0"/>
        <v>315.87</v>
      </c>
      <c r="E48" s="24" t="s">
        <v>19</v>
      </c>
      <c r="F48" s="24" t="s">
        <v>19</v>
      </c>
      <c r="G48" s="24" t="s">
        <v>20</v>
      </c>
      <c r="H48" s="26"/>
    </row>
    <row r="49" spans="1:8" x14ac:dyDescent="0.2">
      <c r="A49" s="27">
        <v>46075</v>
      </c>
      <c r="B49" s="24" t="s">
        <v>29</v>
      </c>
      <c r="C49" s="28">
        <v>84.42</v>
      </c>
      <c r="D49" s="28">
        <f t="shared" si="0"/>
        <v>42.21</v>
      </c>
      <c r="E49" s="24" t="s">
        <v>19</v>
      </c>
      <c r="F49" s="24" t="s">
        <v>19</v>
      </c>
      <c r="G49" s="24" t="s">
        <v>20</v>
      </c>
      <c r="H49" s="26"/>
    </row>
    <row r="50" spans="1:8" x14ac:dyDescent="0.2">
      <c r="A50" s="27">
        <v>46075</v>
      </c>
      <c r="B50" s="24" t="s">
        <v>29</v>
      </c>
      <c r="C50" s="28">
        <v>62.2</v>
      </c>
      <c r="D50" s="28">
        <f t="shared" si="0"/>
        <v>31.1</v>
      </c>
      <c r="E50" s="24" t="s">
        <v>19</v>
      </c>
      <c r="F50" s="24" t="s">
        <v>19</v>
      </c>
      <c r="G50" s="24" t="s">
        <v>20</v>
      </c>
      <c r="H50" s="26"/>
    </row>
    <row r="51" spans="1:8" x14ac:dyDescent="0.2">
      <c r="A51" s="27">
        <v>46076</v>
      </c>
      <c r="B51" s="24" t="s">
        <v>63</v>
      </c>
      <c r="C51" s="28">
        <v>119.9</v>
      </c>
      <c r="D51" s="28">
        <f t="shared" si="0"/>
        <v>59.95</v>
      </c>
      <c r="E51" s="24" t="s">
        <v>19</v>
      </c>
      <c r="F51" s="24" t="s">
        <v>19</v>
      </c>
      <c r="G51" s="24" t="s">
        <v>32</v>
      </c>
      <c r="H51" s="26"/>
    </row>
    <row r="52" spans="1:8" x14ac:dyDescent="0.2">
      <c r="A52" s="27">
        <v>46077</v>
      </c>
      <c r="B52" s="24" t="s">
        <v>29</v>
      </c>
      <c r="C52" s="28">
        <v>98.8</v>
      </c>
      <c r="D52" s="28">
        <f t="shared" si="0"/>
        <v>49.4</v>
      </c>
      <c r="E52" s="24" t="s">
        <v>19</v>
      </c>
      <c r="F52" s="24" t="s">
        <v>19</v>
      </c>
      <c r="G52" s="24" t="s">
        <v>20</v>
      </c>
      <c r="H52" s="26"/>
    </row>
    <row r="53" spans="1:8" x14ac:dyDescent="0.2">
      <c r="A53" s="27">
        <v>46077</v>
      </c>
      <c r="B53" s="24" t="s">
        <v>18</v>
      </c>
      <c r="C53" s="28">
        <v>57</v>
      </c>
      <c r="D53" s="28">
        <f t="shared" si="0"/>
        <v>28.5</v>
      </c>
      <c r="E53" s="24" t="s">
        <v>19</v>
      </c>
      <c r="F53" s="24" t="s">
        <v>19</v>
      </c>
      <c r="G53" s="24" t="s">
        <v>20</v>
      </c>
      <c r="H53" s="26"/>
    </row>
    <row r="54" spans="1:8" x14ac:dyDescent="0.2">
      <c r="A54" s="27">
        <v>46077</v>
      </c>
      <c r="B54" s="24" t="s">
        <v>52</v>
      </c>
      <c r="C54" s="28">
        <v>51.4</v>
      </c>
      <c r="D54" s="28">
        <f t="shared" si="0"/>
        <v>25.7</v>
      </c>
      <c r="E54" s="24" t="s">
        <v>19</v>
      </c>
      <c r="F54" s="24" t="s">
        <v>19</v>
      </c>
      <c r="G54" s="24" t="s">
        <v>32</v>
      </c>
      <c r="H54" s="26"/>
    </row>
    <row r="55" spans="1:8" x14ac:dyDescent="0.2">
      <c r="A55" s="27">
        <v>46078</v>
      </c>
      <c r="B55" s="24" t="s">
        <v>64</v>
      </c>
      <c r="C55" s="28">
        <v>40.15</v>
      </c>
      <c r="D55" s="28">
        <f t="shared" si="0"/>
        <v>20.074999999999999</v>
      </c>
      <c r="E55" s="24" t="s">
        <v>19</v>
      </c>
      <c r="F55" s="24" t="s">
        <v>19</v>
      </c>
      <c r="G55" s="24" t="s">
        <v>32</v>
      </c>
      <c r="H55" s="26"/>
    </row>
    <row r="56" spans="1:8" x14ac:dyDescent="0.2">
      <c r="A56" s="27">
        <v>46079</v>
      </c>
      <c r="B56" s="24" t="s">
        <v>65</v>
      </c>
      <c r="C56" s="28">
        <v>565</v>
      </c>
      <c r="D56" s="28">
        <f t="shared" si="0"/>
        <v>282.5</v>
      </c>
      <c r="E56" s="24" t="s">
        <v>19</v>
      </c>
      <c r="F56" s="24" t="s">
        <v>19</v>
      </c>
      <c r="G56" s="24" t="s">
        <v>25</v>
      </c>
      <c r="H56" s="26"/>
    </row>
    <row r="57" spans="1:8" x14ac:dyDescent="0.2">
      <c r="A57" s="27">
        <v>46079</v>
      </c>
      <c r="B57" s="24" t="s">
        <v>66</v>
      </c>
      <c r="C57" s="28">
        <v>84.04</v>
      </c>
      <c r="D57" s="28">
        <f t="shared" si="0"/>
        <v>42.02</v>
      </c>
      <c r="E57" s="24" t="s">
        <v>19</v>
      </c>
      <c r="F57" s="24" t="s">
        <v>19</v>
      </c>
      <c r="G57" s="24" t="s">
        <v>20</v>
      </c>
      <c r="H57" s="26"/>
    </row>
    <row r="58" spans="1:8" x14ac:dyDescent="0.2">
      <c r="A58" s="27">
        <v>46079</v>
      </c>
      <c r="B58" s="24" t="s">
        <v>67</v>
      </c>
      <c r="C58" s="28">
        <v>50</v>
      </c>
      <c r="D58" s="28">
        <f t="shared" si="0"/>
        <v>25</v>
      </c>
      <c r="E58" s="24" t="s">
        <v>19</v>
      </c>
      <c r="F58" s="24" t="s">
        <v>19</v>
      </c>
      <c r="G58" s="24" t="s">
        <v>25</v>
      </c>
      <c r="H58" s="26"/>
    </row>
    <row r="59" spans="1:8" x14ac:dyDescent="0.2">
      <c r="A59" s="27">
        <v>46080</v>
      </c>
      <c r="B59" s="24" t="s">
        <v>66</v>
      </c>
      <c r="C59" s="28">
        <v>193.9</v>
      </c>
      <c r="D59" s="28">
        <f t="shared" si="0"/>
        <v>96.95</v>
      </c>
      <c r="E59" s="24" t="s">
        <v>19</v>
      </c>
      <c r="F59" s="24" t="s">
        <v>19</v>
      </c>
      <c r="G59" s="24" t="s">
        <v>20</v>
      </c>
      <c r="H59" s="26"/>
    </row>
    <row r="60" spans="1:8" x14ac:dyDescent="0.2">
      <c r="A60" s="27">
        <v>46081</v>
      </c>
      <c r="B60" s="24" t="s">
        <v>66</v>
      </c>
      <c r="C60" s="28">
        <v>157.05000000000001</v>
      </c>
      <c r="D60" s="28">
        <f t="shared" si="0"/>
        <v>78.525000000000006</v>
      </c>
      <c r="E60" s="24" t="s">
        <v>19</v>
      </c>
      <c r="F60" s="24" t="s">
        <v>19</v>
      </c>
      <c r="G60" s="24" t="s">
        <v>20</v>
      </c>
      <c r="H60" s="26"/>
    </row>
    <row r="61" spans="1:8" x14ac:dyDescent="0.2">
      <c r="A61" s="27">
        <v>46081</v>
      </c>
      <c r="B61" s="24" t="s">
        <v>67</v>
      </c>
      <c r="C61" s="28">
        <v>132.25</v>
      </c>
      <c r="D61" s="28">
        <f t="shared" si="0"/>
        <v>66.125</v>
      </c>
      <c r="E61" s="24" t="s">
        <v>19</v>
      </c>
      <c r="F61" s="24" t="s">
        <v>19</v>
      </c>
      <c r="G61" s="24" t="s">
        <v>25</v>
      </c>
      <c r="H61" s="26"/>
    </row>
    <row r="62" spans="1:8" x14ac:dyDescent="0.2">
      <c r="A62" s="27">
        <v>46081</v>
      </c>
      <c r="B62" s="24" t="s">
        <v>68</v>
      </c>
      <c r="C62" s="28">
        <v>56</v>
      </c>
      <c r="D62" s="28">
        <f t="shared" si="0"/>
        <v>28</v>
      </c>
      <c r="E62" s="24" t="s">
        <v>19</v>
      </c>
      <c r="F62" s="24" t="s">
        <v>19</v>
      </c>
      <c r="G62" s="24" t="s">
        <v>25</v>
      </c>
      <c r="H62" s="26"/>
    </row>
  </sheetData>
  <mergeCells count="9">
    <mergeCell ref="J20:K20"/>
    <mergeCell ref="I13:K13"/>
    <mergeCell ref="J16:K16"/>
    <mergeCell ref="J15:K15"/>
    <mergeCell ref="I1:K1"/>
    <mergeCell ref="J18:K18"/>
    <mergeCell ref="J19:K19"/>
    <mergeCell ref="I7:K7"/>
    <mergeCell ref="J17:K17"/>
  </mergeCells>
  <conditionalFormatting sqref="C63:C200">
    <cfRule type="dataBar" priority="15">
      <dataBar>
        <cfvo type="min"/>
        <cfvo type="max"/>
        <color rgb="FF00B4D8"/>
      </dataBar>
    </cfRule>
  </conditionalFormatting>
  <conditionalFormatting sqref="E63:F200">
    <cfRule type="expression" dxfId="32" priority="16">
      <formula>E63="Yes"</formula>
    </cfRule>
    <cfRule type="expression" dxfId="31" priority="17">
      <formula>E63="No"</formula>
    </cfRule>
  </conditionalFormatting>
  <conditionalFormatting sqref="G63:G200">
    <cfRule type="expression" dxfId="30" priority="20">
      <formula>G63="Groceries"</formula>
    </cfRule>
    <cfRule type="expression" dxfId="29" priority="21">
      <formula>G63="Dine Out/Takeaways"</formula>
    </cfRule>
    <cfRule type="expression" dxfId="28" priority="22">
      <formula>G63="Entertainment"</formula>
    </cfRule>
  </conditionalFormatting>
  <conditionalFormatting sqref="E44:F62">
    <cfRule type="expression" dxfId="27" priority="9">
      <formula>E44="Yes"</formula>
    </cfRule>
    <cfRule type="expression" dxfId="26" priority="10">
      <formula>E44="No"</formula>
    </cfRule>
  </conditionalFormatting>
  <conditionalFormatting sqref="G2:G62">
    <cfRule type="expression" dxfId="25" priority="11">
      <formula>G2="Groceries"</formula>
    </cfRule>
    <cfRule type="expression" dxfId="24" priority="12">
      <formula>G2="Dine Out/Takeaways"</formula>
    </cfRule>
    <cfRule type="expression" dxfId="23" priority="13">
      <formula>G2="Entertainment"</formula>
    </cfRule>
  </conditionalFormatting>
  <conditionalFormatting sqref="C2:C62">
    <cfRule type="dataBar" priority="14">
      <dataBar>
        <cfvo type="min"/>
        <cfvo type="max"/>
        <color rgb="FF00B4D8"/>
      </dataBar>
    </cfRule>
  </conditionalFormatting>
  <conditionalFormatting sqref="E2:F43">
    <cfRule type="expression" dxfId="22" priority="1">
      <formula>E2="Yes"</formula>
    </cfRule>
    <cfRule type="expression" dxfId="21" priority="2">
      <formula>E2="No"</formula>
    </cfRule>
  </conditionalFormatting>
  <dataValidations count="2">
    <dataValidation type="list" allowBlank="1" showErrorMessage="1" errorTitle="Invalid Category" error="Use the dropdown to select a valid category." promptTitle="Category" prompt="Pick a category" sqref="G2:G200" xr:uid="{00000000-0002-0000-0100-000000000000}">
      <formula1>"Groceries,Dine Out/Takeaways,Entertainment"</formula1>
    </dataValidation>
    <dataValidation type="list" allowBlank="1" showErrorMessage="1" errorTitle="Invalid Value" error="Please select Yes or No." promptTitle="Paid Status" prompt="Has this been paid?" sqref="E2:F200" xr:uid="{00000000-0002-0000-0100-000001000000}">
      <formula1>"Yes,No"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MarkRowPaid">
                <anchor moveWithCells="1" sizeWithCells="1">
                  <from>
                    <xdr:col>8</xdr:col>
                    <xdr:colOff>25400</xdr:colOff>
                    <xdr:row>22</xdr:row>
                    <xdr:rowOff>101600</xdr:rowOff>
                  </from>
                  <to>
                    <xdr:col>10</xdr:col>
                    <xdr:colOff>927100</xdr:colOff>
                    <xdr:row>23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AddRow">
                <anchor moveWithCells="1" sizeWithCells="1">
                  <from>
                    <xdr:col>7</xdr:col>
                    <xdr:colOff>190500</xdr:colOff>
                    <xdr:row>24</xdr:row>
                    <xdr:rowOff>25400</xdr:rowOff>
                  </from>
                  <to>
                    <xdr:col>11</xdr:col>
                    <xdr:colOff>12700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DeleteRow">
                <anchor moveWithCells="1" sizeWithCells="1">
                  <from>
                    <xdr:col>8</xdr:col>
                    <xdr:colOff>12700</xdr:colOff>
                    <xdr:row>21</xdr:row>
                    <xdr:rowOff>25400</xdr:rowOff>
                  </from>
                  <to>
                    <xdr:col>11</xdr:col>
                    <xdr:colOff>38100</xdr:colOff>
                    <xdr:row>22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4D8"/>
  </sheetPr>
  <dimension ref="A1:L116"/>
  <sheetViews>
    <sheetView workbookViewId="0">
      <pane ySplit="1" topLeftCell="A2" activePane="bottomLeft" state="frozen"/>
      <selection pane="bottomLeft" activeCell="H21" sqref="H21"/>
    </sheetView>
  </sheetViews>
  <sheetFormatPr baseColWidth="10" defaultColWidth="8.83203125" defaultRowHeight="15" x14ac:dyDescent="0.2"/>
  <cols>
    <col min="1" max="1" width="12" customWidth="1"/>
    <col min="2" max="2" width="34.1640625" bestFit="1" customWidth="1"/>
    <col min="3" max="3" width="15.6640625" bestFit="1" customWidth="1"/>
    <col min="4" max="4" width="15" bestFit="1" customWidth="1"/>
    <col min="5" max="6" width="11" customWidth="1"/>
    <col min="7" max="7" width="20" customWidth="1"/>
    <col min="8" max="8" width="12.33203125" bestFit="1" customWidth="1"/>
    <col min="9" max="9" width="8.5" customWidth="1"/>
    <col min="10" max="11" width="14" customWidth="1"/>
    <col min="12" max="12" width="12.5" bestFit="1" customWidth="1"/>
  </cols>
  <sheetData>
    <row r="1" spans="1:12" ht="26" customHeight="1" x14ac:dyDescent="0.2">
      <c r="A1" s="5" t="s">
        <v>10</v>
      </c>
      <c r="B1" s="5" t="s">
        <v>11</v>
      </c>
      <c r="C1" s="5" t="s">
        <v>12</v>
      </c>
      <c r="D1" s="5" t="s">
        <v>13</v>
      </c>
      <c r="E1" s="5" t="s">
        <v>14</v>
      </c>
      <c r="F1" s="5" t="s">
        <v>15</v>
      </c>
      <c r="G1" s="5" t="s">
        <v>16</v>
      </c>
      <c r="H1" s="20" t="s">
        <v>119</v>
      </c>
      <c r="J1" s="90" t="s">
        <v>17</v>
      </c>
      <c r="K1" s="91"/>
      <c r="L1" s="92"/>
    </row>
    <row r="2" spans="1:12" ht="17" customHeight="1" x14ac:dyDescent="0.2">
      <c r="A2" s="15">
        <v>46082</v>
      </c>
      <c r="B2" t="s">
        <v>31</v>
      </c>
      <c r="C2" s="16">
        <v>69.55</v>
      </c>
      <c r="D2" s="16">
        <f t="shared" ref="D2:D15" si="0">C2/2</f>
        <v>34.774999999999999</v>
      </c>
      <c r="E2" t="s">
        <v>19</v>
      </c>
      <c r="F2" t="s">
        <v>19</v>
      </c>
      <c r="G2" t="s">
        <v>32</v>
      </c>
      <c r="H2" s="21"/>
      <c r="J2" s="1"/>
      <c r="K2" s="1" t="s">
        <v>21</v>
      </c>
      <c r="L2" s="1" t="s">
        <v>22</v>
      </c>
    </row>
    <row r="3" spans="1:12" ht="17" customHeight="1" x14ac:dyDescent="0.2">
      <c r="A3" s="15">
        <v>46084</v>
      </c>
      <c r="B3" t="s">
        <v>69</v>
      </c>
      <c r="C3" s="16">
        <v>256</v>
      </c>
      <c r="D3" s="16">
        <f t="shared" si="0"/>
        <v>128</v>
      </c>
      <c r="E3" t="s">
        <v>19</v>
      </c>
      <c r="F3" t="s">
        <v>19</v>
      </c>
      <c r="G3" t="s">
        <v>25</v>
      </c>
      <c r="H3" s="21"/>
      <c r="J3" s="2" t="s">
        <v>8</v>
      </c>
      <c r="K3" s="14">
        <f>SUM(C2:C63)/2</f>
        <v>3403.1649999999995</v>
      </c>
      <c r="L3" s="14">
        <f>SUMIF(E21:E82,"No",D21:D82)</f>
        <v>0</v>
      </c>
    </row>
    <row r="4" spans="1:12" ht="17" customHeight="1" x14ac:dyDescent="0.2">
      <c r="A4" s="15">
        <v>46084</v>
      </c>
      <c r="B4" t="s">
        <v>31</v>
      </c>
      <c r="C4" s="16">
        <v>28.36</v>
      </c>
      <c r="D4" s="16">
        <f t="shared" si="0"/>
        <v>14.18</v>
      </c>
      <c r="E4" t="s">
        <v>19</v>
      </c>
      <c r="F4" t="s">
        <v>19</v>
      </c>
      <c r="G4" t="s">
        <v>32</v>
      </c>
      <c r="H4" s="21"/>
      <c r="J4" s="2" t="s">
        <v>7</v>
      </c>
      <c r="K4" s="14">
        <f>SUM(C2:C63)/2</f>
        <v>3403.1649999999995</v>
      </c>
      <c r="L4" s="14">
        <f>SUMIF(F21:F82,"No",D21:D82)</f>
        <v>0</v>
      </c>
    </row>
    <row r="5" spans="1:12" ht="17" customHeight="1" x14ac:dyDescent="0.2">
      <c r="A5" s="15">
        <v>46085</v>
      </c>
      <c r="B5" t="s">
        <v>70</v>
      </c>
      <c r="C5" s="16">
        <v>280</v>
      </c>
      <c r="D5" s="16">
        <f t="shared" si="0"/>
        <v>140</v>
      </c>
      <c r="E5" t="s">
        <v>19</v>
      </c>
      <c r="F5" t="s">
        <v>19</v>
      </c>
      <c r="G5" t="s">
        <v>25</v>
      </c>
      <c r="H5" s="21"/>
      <c r="J5" s="2" t="s">
        <v>3</v>
      </c>
      <c r="K5" s="14">
        <f>SUM(K3:K4)</f>
        <v>6806.329999999999</v>
      </c>
      <c r="L5" s="14"/>
    </row>
    <row r="6" spans="1:12" ht="16" customHeight="1" x14ac:dyDescent="0.2">
      <c r="A6" s="15">
        <v>46085</v>
      </c>
      <c r="B6" t="s">
        <v>70</v>
      </c>
      <c r="C6" s="16">
        <v>60</v>
      </c>
      <c r="D6" s="16">
        <f t="shared" si="0"/>
        <v>30</v>
      </c>
      <c r="E6" t="s">
        <v>19</v>
      </c>
      <c r="F6" t="s">
        <v>19</v>
      </c>
      <c r="G6" t="s">
        <v>25</v>
      </c>
      <c r="H6" s="21"/>
    </row>
    <row r="7" spans="1:12" ht="22" customHeight="1" x14ac:dyDescent="0.2">
      <c r="A7" s="15">
        <v>46085</v>
      </c>
      <c r="B7" t="s">
        <v>29</v>
      </c>
      <c r="C7" s="16">
        <v>55</v>
      </c>
      <c r="D7" s="16">
        <f t="shared" si="0"/>
        <v>27.5</v>
      </c>
      <c r="E7" t="s">
        <v>19</v>
      </c>
      <c r="F7" t="s">
        <v>19</v>
      </c>
      <c r="G7" t="s">
        <v>20</v>
      </c>
      <c r="H7" s="21"/>
      <c r="J7" s="90" t="s">
        <v>30</v>
      </c>
      <c r="K7" s="91"/>
      <c r="L7" s="92"/>
    </row>
    <row r="8" spans="1:12" ht="17" customHeight="1" x14ac:dyDescent="0.2">
      <c r="A8" s="15">
        <v>46085</v>
      </c>
      <c r="B8" t="s">
        <v>71</v>
      </c>
      <c r="C8" s="16">
        <v>54</v>
      </c>
      <c r="D8" s="16">
        <f t="shared" si="0"/>
        <v>27</v>
      </c>
      <c r="E8" t="s">
        <v>19</v>
      </c>
      <c r="F8" t="s">
        <v>19</v>
      </c>
      <c r="G8" t="s">
        <v>32</v>
      </c>
      <c r="H8" s="21"/>
      <c r="J8" s="1" t="s">
        <v>16</v>
      </c>
      <c r="K8" s="1" t="s">
        <v>12</v>
      </c>
      <c r="L8" s="1" t="s">
        <v>33</v>
      </c>
    </row>
    <row r="9" spans="1:12" ht="17" customHeight="1" x14ac:dyDescent="0.2">
      <c r="A9" s="15">
        <v>46085</v>
      </c>
      <c r="B9" t="s">
        <v>70</v>
      </c>
      <c r="C9" s="16">
        <v>44</v>
      </c>
      <c r="D9" s="16">
        <f t="shared" si="0"/>
        <v>22</v>
      </c>
      <c r="E9" t="s">
        <v>19</v>
      </c>
      <c r="F9" t="s">
        <v>19</v>
      </c>
      <c r="G9" t="s">
        <v>25</v>
      </c>
      <c r="H9" s="21"/>
      <c r="J9" s="7" t="s">
        <v>4</v>
      </c>
      <c r="K9" s="14">
        <f>SUMIF(G21:G82,"Groceries",C21:C82)</f>
        <v>815.7</v>
      </c>
      <c r="L9" s="8">
        <f>IFERROR(K9/K5,"—")</f>
        <v>0.11984432138905991</v>
      </c>
    </row>
    <row r="10" spans="1:12" ht="17" customHeight="1" x14ac:dyDescent="0.2">
      <c r="A10" s="15">
        <v>46086</v>
      </c>
      <c r="B10" t="s">
        <v>66</v>
      </c>
      <c r="C10" s="16">
        <v>129.55000000000001</v>
      </c>
      <c r="D10" s="16">
        <f t="shared" si="0"/>
        <v>64.775000000000006</v>
      </c>
      <c r="E10" t="s">
        <v>19</v>
      </c>
      <c r="F10" t="s">
        <v>19</v>
      </c>
      <c r="G10" t="s">
        <v>20</v>
      </c>
      <c r="H10" s="21"/>
      <c r="J10" s="9" t="s">
        <v>5</v>
      </c>
      <c r="K10" s="14">
        <f>SUMIF(G21:G82,"Dine Out/Takeaways",C21:C82)</f>
        <v>1712.74</v>
      </c>
      <c r="L10" s="8">
        <f>IFERROR(K10/K5,"—")</f>
        <v>0.25163928284405845</v>
      </c>
    </row>
    <row r="11" spans="1:12" ht="17" customHeight="1" x14ac:dyDescent="0.2">
      <c r="A11" s="15">
        <v>46086</v>
      </c>
      <c r="B11" t="s">
        <v>72</v>
      </c>
      <c r="C11" s="16">
        <v>80</v>
      </c>
      <c r="D11" s="16">
        <f t="shared" si="0"/>
        <v>40</v>
      </c>
      <c r="E11" t="s">
        <v>19</v>
      </c>
      <c r="F11" t="s">
        <v>19</v>
      </c>
      <c r="G11" t="s">
        <v>25</v>
      </c>
      <c r="H11" s="21"/>
      <c r="J11" s="10" t="s">
        <v>6</v>
      </c>
      <c r="K11" s="14">
        <f>SUMIF(G21:G82,"Entertainment",C21:C82)</f>
        <v>1994.6799999999998</v>
      </c>
      <c r="L11" s="8">
        <f>IFERROR(K11/K5,"—")</f>
        <v>0.29306248741979896</v>
      </c>
    </row>
    <row r="12" spans="1:12" ht="16" customHeight="1" x14ac:dyDescent="0.2">
      <c r="A12" s="15">
        <v>46086</v>
      </c>
      <c r="B12" t="s">
        <v>29</v>
      </c>
      <c r="C12" s="16">
        <v>62.42</v>
      </c>
      <c r="D12" s="16">
        <f t="shared" si="0"/>
        <v>31.21</v>
      </c>
      <c r="E12" t="s">
        <v>19</v>
      </c>
      <c r="F12" t="s">
        <v>19</v>
      </c>
      <c r="G12" t="s">
        <v>20</v>
      </c>
      <c r="H12" s="21"/>
    </row>
    <row r="13" spans="1:12" ht="22" customHeight="1" x14ac:dyDescent="0.2">
      <c r="A13" s="15">
        <v>46087</v>
      </c>
      <c r="B13" t="s">
        <v>63</v>
      </c>
      <c r="C13" s="16">
        <v>130.9</v>
      </c>
      <c r="D13" s="16">
        <f t="shared" si="0"/>
        <v>65.45</v>
      </c>
      <c r="E13" t="s">
        <v>19</v>
      </c>
      <c r="F13" t="s">
        <v>19</v>
      </c>
      <c r="G13" t="s">
        <v>32</v>
      </c>
      <c r="H13" s="21"/>
      <c r="J13" s="90" t="s">
        <v>37</v>
      </c>
      <c r="K13" s="91"/>
      <c r="L13" s="92"/>
    </row>
    <row r="14" spans="1:12" ht="17" customHeight="1" x14ac:dyDescent="0.2">
      <c r="A14" s="15">
        <v>46087</v>
      </c>
      <c r="B14" t="s">
        <v>73</v>
      </c>
      <c r="C14" s="16">
        <v>54</v>
      </c>
      <c r="D14" s="16">
        <f t="shared" si="0"/>
        <v>27</v>
      </c>
      <c r="E14" t="s">
        <v>19</v>
      </c>
      <c r="F14" t="s">
        <v>19</v>
      </c>
      <c r="G14" t="s">
        <v>25</v>
      </c>
      <c r="H14" s="21"/>
      <c r="J14" s="1" t="s">
        <v>39</v>
      </c>
      <c r="K14" s="1" t="s">
        <v>40</v>
      </c>
      <c r="L14" s="1"/>
    </row>
    <row r="15" spans="1:12" ht="17" customHeight="1" x14ac:dyDescent="0.2">
      <c r="A15" s="15">
        <v>46088</v>
      </c>
      <c r="B15" t="s">
        <v>74</v>
      </c>
      <c r="C15" s="16">
        <v>410</v>
      </c>
      <c r="D15" s="16">
        <f t="shared" si="0"/>
        <v>205</v>
      </c>
      <c r="E15" t="s">
        <v>19</v>
      </c>
      <c r="F15" t="s">
        <v>19</v>
      </c>
      <c r="G15" t="s">
        <v>25</v>
      </c>
      <c r="H15" s="21"/>
      <c r="J15" s="2" t="s">
        <v>42</v>
      </c>
      <c r="K15" s="23">
        <f>COUNTA(B2:B82)</f>
        <v>62</v>
      </c>
    </row>
    <row r="16" spans="1:12" ht="17" customHeight="1" x14ac:dyDescent="0.2">
      <c r="A16" s="15">
        <v>46088</v>
      </c>
      <c r="B16" t="s">
        <v>77</v>
      </c>
      <c r="C16" s="16">
        <v>14.05</v>
      </c>
      <c r="D16" s="16">
        <v>7.03</v>
      </c>
      <c r="E16" t="s">
        <v>19</v>
      </c>
      <c r="F16" t="s">
        <v>19</v>
      </c>
      <c r="G16" t="s">
        <v>20</v>
      </c>
      <c r="H16" s="21">
        <v>64.14</v>
      </c>
      <c r="J16" s="2" t="s">
        <v>43</v>
      </c>
      <c r="K16" s="14">
        <f>IFERROR(AVERAGE(C2:C82),0)</f>
        <v>109.77951612903225</v>
      </c>
    </row>
    <row r="17" spans="1:11" ht="17" customHeight="1" x14ac:dyDescent="0.2">
      <c r="A17" s="15">
        <v>46089</v>
      </c>
      <c r="B17" t="s">
        <v>35</v>
      </c>
      <c r="C17" s="16">
        <v>242.55</v>
      </c>
      <c r="D17" s="16">
        <f>C17/2</f>
        <v>121.27500000000001</v>
      </c>
      <c r="E17" t="s">
        <v>19</v>
      </c>
      <c r="F17" t="s">
        <v>19</v>
      </c>
      <c r="G17" t="s">
        <v>20</v>
      </c>
      <c r="H17" s="21"/>
      <c r="J17" s="2" t="s">
        <v>45</v>
      </c>
      <c r="K17" s="14">
        <f>IFERROR(MAX(C2:C82),0)</f>
        <v>502</v>
      </c>
    </row>
    <row r="18" spans="1:11" ht="17" customHeight="1" x14ac:dyDescent="0.2">
      <c r="A18" s="17">
        <v>46089</v>
      </c>
      <c r="B18" s="18" t="s">
        <v>75</v>
      </c>
      <c r="C18" s="19">
        <v>206.17</v>
      </c>
      <c r="D18" s="19">
        <f>C18/2</f>
        <v>103.08499999999999</v>
      </c>
      <c r="E18" s="18" t="s">
        <v>19</v>
      </c>
      <c r="F18" s="18" t="s">
        <v>19</v>
      </c>
      <c r="G18" s="18" t="s">
        <v>25</v>
      </c>
      <c r="H18" s="21"/>
      <c r="J18" s="2" t="s">
        <v>47</v>
      </c>
      <c r="K18" s="23">
        <f>COUNTIF(G2:G82,"Groceries")</f>
        <v>16</v>
      </c>
    </row>
    <row r="19" spans="1:11" ht="17" customHeight="1" x14ac:dyDescent="0.2">
      <c r="A19" s="15">
        <v>46089</v>
      </c>
      <c r="B19" t="s">
        <v>78</v>
      </c>
      <c r="C19" s="16">
        <v>66.66</v>
      </c>
      <c r="D19" s="16">
        <v>33.33</v>
      </c>
      <c r="E19" t="s">
        <v>19</v>
      </c>
      <c r="F19" t="s">
        <v>19</v>
      </c>
      <c r="G19" t="s">
        <v>32</v>
      </c>
      <c r="H19" s="21">
        <v>304.22000000000003</v>
      </c>
      <c r="J19" s="2" t="s">
        <v>48</v>
      </c>
      <c r="K19" s="23">
        <f>COUNTIF(G2:G82,"Dine Out/Takeaways")</f>
        <v>22</v>
      </c>
    </row>
    <row r="20" spans="1:11" ht="17" customHeight="1" x14ac:dyDescent="0.2">
      <c r="A20" s="15">
        <v>46091</v>
      </c>
      <c r="B20" t="s">
        <v>76</v>
      </c>
      <c r="C20" s="16">
        <v>40</v>
      </c>
      <c r="D20" s="16">
        <f>C20/2</f>
        <v>20</v>
      </c>
      <c r="E20" t="s">
        <v>19</v>
      </c>
      <c r="F20" t="s">
        <v>19</v>
      </c>
      <c r="G20" t="s">
        <v>25</v>
      </c>
      <c r="H20" s="21"/>
      <c r="J20" s="2" t="s">
        <v>50</v>
      </c>
      <c r="K20" s="23">
        <f>COUNTIF(G2:G82,"Entertainment")</f>
        <v>24</v>
      </c>
    </row>
    <row r="21" spans="1:11" ht="16" customHeight="1" x14ac:dyDescent="0.2">
      <c r="A21" s="15">
        <v>46092</v>
      </c>
      <c r="B21" t="s">
        <v>118</v>
      </c>
      <c r="C21" s="16">
        <v>122.92</v>
      </c>
      <c r="D21" s="16">
        <v>61.46</v>
      </c>
      <c r="E21" t="s">
        <v>19</v>
      </c>
      <c r="F21" t="s">
        <v>19</v>
      </c>
      <c r="G21" t="s">
        <v>25</v>
      </c>
      <c r="H21" s="21">
        <v>561</v>
      </c>
    </row>
    <row r="22" spans="1:11" ht="16" customHeight="1" x14ac:dyDescent="0.2">
      <c r="A22" s="15">
        <v>46092</v>
      </c>
      <c r="B22" t="s">
        <v>79</v>
      </c>
      <c r="C22" s="16">
        <v>15.78</v>
      </c>
      <c r="D22" s="16">
        <v>7.89</v>
      </c>
      <c r="E22" t="s">
        <v>19</v>
      </c>
      <c r="F22" t="s">
        <v>19</v>
      </c>
      <c r="G22" t="s">
        <v>20</v>
      </c>
      <c r="H22" s="21">
        <v>72</v>
      </c>
    </row>
    <row r="23" spans="1:11" ht="16" customHeight="1" x14ac:dyDescent="0.2">
      <c r="A23" s="15">
        <v>46093</v>
      </c>
      <c r="B23" t="s">
        <v>80</v>
      </c>
      <c r="C23" s="16">
        <v>30.44</v>
      </c>
      <c r="D23" s="16">
        <v>15.22</v>
      </c>
      <c r="E23" t="s">
        <v>19</v>
      </c>
      <c r="F23" t="s">
        <v>19</v>
      </c>
      <c r="G23" t="s">
        <v>32</v>
      </c>
      <c r="H23" s="21">
        <v>138.94</v>
      </c>
    </row>
    <row r="24" spans="1:11" ht="16" customHeight="1" x14ac:dyDescent="0.2">
      <c r="A24" s="15">
        <v>46093</v>
      </c>
      <c r="B24" t="s">
        <v>81</v>
      </c>
      <c r="C24" s="16">
        <v>33.520000000000003</v>
      </c>
      <c r="D24" s="16">
        <v>16.760000000000002</v>
      </c>
      <c r="E24" t="s">
        <v>19</v>
      </c>
      <c r="F24" t="s">
        <v>19</v>
      </c>
      <c r="G24" t="s">
        <v>20</v>
      </c>
      <c r="H24" s="21">
        <v>153</v>
      </c>
    </row>
    <row r="25" spans="1:11" ht="16" customHeight="1" x14ac:dyDescent="0.2">
      <c r="A25" s="15">
        <v>46094</v>
      </c>
      <c r="B25" t="s">
        <v>82</v>
      </c>
      <c r="C25" s="16">
        <v>109.56</v>
      </c>
      <c r="D25" s="16">
        <v>54.78</v>
      </c>
      <c r="E25" t="s">
        <v>19</v>
      </c>
      <c r="F25" t="s">
        <v>19</v>
      </c>
      <c r="G25" t="s">
        <v>25</v>
      </c>
      <c r="H25" s="21">
        <v>500</v>
      </c>
    </row>
    <row r="26" spans="1:11" ht="16" customHeight="1" x14ac:dyDescent="0.2">
      <c r="A26" s="15">
        <v>46094</v>
      </c>
      <c r="B26" t="s">
        <v>83</v>
      </c>
      <c r="C26" s="16">
        <v>136.66999999999999</v>
      </c>
      <c r="D26" s="16">
        <v>68.33</v>
      </c>
      <c r="E26" t="s">
        <v>19</v>
      </c>
      <c r="F26" t="s">
        <v>19</v>
      </c>
      <c r="G26" t="s">
        <v>25</v>
      </c>
      <c r="H26" s="21">
        <v>623.76</v>
      </c>
    </row>
    <row r="27" spans="1:11" ht="16" customHeight="1" x14ac:dyDescent="0.2">
      <c r="A27" s="15">
        <v>46095</v>
      </c>
      <c r="B27" t="s">
        <v>84</v>
      </c>
      <c r="C27" s="16">
        <v>45.05</v>
      </c>
      <c r="D27" s="16">
        <v>22.52</v>
      </c>
      <c r="E27" t="s">
        <v>19</v>
      </c>
      <c r="F27" t="s">
        <v>19</v>
      </c>
      <c r="G27" t="s">
        <v>20</v>
      </c>
      <c r="H27" s="21">
        <v>205.6</v>
      </c>
    </row>
    <row r="28" spans="1:11" ht="16" customHeight="1" x14ac:dyDescent="0.2">
      <c r="A28" s="15">
        <v>46095</v>
      </c>
      <c r="B28" t="s">
        <v>85</v>
      </c>
      <c r="C28" s="16">
        <v>52.88</v>
      </c>
      <c r="D28" s="16">
        <v>26.44</v>
      </c>
      <c r="E28" t="s">
        <v>19</v>
      </c>
      <c r="F28" t="s">
        <v>19</v>
      </c>
      <c r="G28" t="s">
        <v>25</v>
      </c>
      <c r="H28" s="21">
        <v>241.33</v>
      </c>
    </row>
    <row r="29" spans="1:11" ht="16" customHeight="1" x14ac:dyDescent="0.2">
      <c r="A29" s="15">
        <v>46096</v>
      </c>
      <c r="B29" t="s">
        <v>86</v>
      </c>
      <c r="C29" s="16">
        <v>50.39</v>
      </c>
      <c r="D29" s="16">
        <v>25.2</v>
      </c>
      <c r="E29" t="s">
        <v>19</v>
      </c>
      <c r="F29" t="s">
        <v>19</v>
      </c>
      <c r="G29" t="s">
        <v>25</v>
      </c>
      <c r="H29" s="21">
        <v>229.99</v>
      </c>
    </row>
    <row r="30" spans="1:11" ht="16" customHeight="1" x14ac:dyDescent="0.2">
      <c r="A30" s="15">
        <v>46096</v>
      </c>
      <c r="B30" t="s">
        <v>87</v>
      </c>
      <c r="C30" s="16">
        <v>34.450000000000003</v>
      </c>
      <c r="D30" s="16">
        <v>17.23</v>
      </c>
      <c r="E30" t="s">
        <v>19</v>
      </c>
      <c r="F30" t="s">
        <v>19</v>
      </c>
      <c r="G30" t="s">
        <v>20</v>
      </c>
      <c r="H30" s="21">
        <v>157.21</v>
      </c>
    </row>
    <row r="31" spans="1:11" ht="16" customHeight="1" x14ac:dyDescent="0.2">
      <c r="A31" s="15">
        <v>46096</v>
      </c>
      <c r="B31" t="s">
        <v>88</v>
      </c>
      <c r="C31" s="16">
        <v>211.75</v>
      </c>
      <c r="D31" s="16">
        <v>105.88</v>
      </c>
      <c r="E31" t="s">
        <v>19</v>
      </c>
      <c r="F31" t="s">
        <v>19</v>
      </c>
      <c r="G31" t="s">
        <v>20</v>
      </c>
      <c r="H31" s="21">
        <v>966.41</v>
      </c>
    </row>
    <row r="32" spans="1:11" ht="16" customHeight="1" x14ac:dyDescent="0.2">
      <c r="A32" s="15">
        <v>46096</v>
      </c>
      <c r="B32" t="s">
        <v>89</v>
      </c>
      <c r="C32" s="16">
        <v>241.03</v>
      </c>
      <c r="D32" s="16">
        <v>120.52</v>
      </c>
      <c r="E32" t="s">
        <v>19</v>
      </c>
      <c r="F32" t="s">
        <v>19</v>
      </c>
      <c r="G32" t="s">
        <v>32</v>
      </c>
      <c r="H32" s="21">
        <v>1100</v>
      </c>
    </row>
    <row r="33" spans="1:8" ht="16" customHeight="1" x14ac:dyDescent="0.2">
      <c r="A33" s="15">
        <v>46096</v>
      </c>
      <c r="B33" t="s">
        <v>90</v>
      </c>
      <c r="C33" s="16">
        <v>46.1</v>
      </c>
      <c r="D33" s="16">
        <v>23.05</v>
      </c>
      <c r="E33" t="s">
        <v>19</v>
      </c>
      <c r="F33" t="s">
        <v>19</v>
      </c>
      <c r="G33" t="s">
        <v>32</v>
      </c>
      <c r="H33" s="21">
        <v>210.41</v>
      </c>
    </row>
    <row r="34" spans="1:8" ht="16" customHeight="1" x14ac:dyDescent="0.2">
      <c r="A34" s="15">
        <v>46096</v>
      </c>
      <c r="B34" t="s">
        <v>90</v>
      </c>
      <c r="C34" s="16">
        <v>59.56</v>
      </c>
      <c r="D34" s="16">
        <v>29.78</v>
      </c>
      <c r="E34" t="s">
        <v>19</v>
      </c>
      <c r="F34" t="s">
        <v>19</v>
      </c>
      <c r="G34" t="s">
        <v>32</v>
      </c>
      <c r="H34" s="21">
        <v>271.81</v>
      </c>
    </row>
    <row r="35" spans="1:8" ht="16" customHeight="1" x14ac:dyDescent="0.2">
      <c r="A35" s="15">
        <v>46098</v>
      </c>
      <c r="B35" t="s">
        <v>91</v>
      </c>
      <c r="C35" s="16">
        <v>10.96</v>
      </c>
      <c r="D35" s="16">
        <v>5.48</v>
      </c>
      <c r="E35" t="s">
        <v>19</v>
      </c>
      <c r="F35" t="s">
        <v>19</v>
      </c>
      <c r="G35" t="s">
        <v>20</v>
      </c>
      <c r="H35" s="21">
        <v>50</v>
      </c>
    </row>
    <row r="36" spans="1:8" ht="16" customHeight="1" x14ac:dyDescent="0.2">
      <c r="A36" s="15">
        <v>46098</v>
      </c>
      <c r="B36" t="s">
        <v>92</v>
      </c>
      <c r="C36" s="16">
        <v>8.76</v>
      </c>
      <c r="D36" s="16">
        <v>4.38</v>
      </c>
      <c r="E36" t="s">
        <v>19</v>
      </c>
      <c r="F36" t="s">
        <v>19</v>
      </c>
      <c r="G36" t="s">
        <v>20</v>
      </c>
      <c r="H36" s="21">
        <v>40</v>
      </c>
    </row>
    <row r="37" spans="1:8" ht="16" customHeight="1" x14ac:dyDescent="0.2">
      <c r="A37" s="17">
        <v>46099</v>
      </c>
      <c r="B37" s="18" t="s">
        <v>90</v>
      </c>
      <c r="C37" s="19">
        <v>113.47</v>
      </c>
      <c r="D37" s="19">
        <v>56.73</v>
      </c>
      <c r="E37" s="18" t="s">
        <v>19</v>
      </c>
      <c r="F37" t="s">
        <v>19</v>
      </c>
      <c r="G37" s="18" t="s">
        <v>32</v>
      </c>
      <c r="H37" s="21">
        <v>517.85</v>
      </c>
    </row>
    <row r="38" spans="1:8" x14ac:dyDescent="0.2">
      <c r="A38" s="15">
        <v>46100</v>
      </c>
      <c r="B38" t="s">
        <v>93</v>
      </c>
      <c r="C38" s="16">
        <v>109.56</v>
      </c>
      <c r="D38" s="16">
        <v>54.78</v>
      </c>
      <c r="E38" t="s">
        <v>19</v>
      </c>
      <c r="F38" t="s">
        <v>19</v>
      </c>
      <c r="G38" t="s">
        <v>25</v>
      </c>
      <c r="H38" s="21">
        <v>500</v>
      </c>
    </row>
    <row r="39" spans="1:8" x14ac:dyDescent="0.2">
      <c r="A39" s="15">
        <v>46101</v>
      </c>
      <c r="B39" t="s">
        <v>90</v>
      </c>
      <c r="C39" s="16">
        <v>74.540000000000006</v>
      </c>
      <c r="D39" s="16">
        <v>37.270000000000003</v>
      </c>
      <c r="E39" t="s">
        <v>19</v>
      </c>
      <c r="F39" t="s">
        <v>19</v>
      </c>
      <c r="G39" t="s">
        <v>32</v>
      </c>
      <c r="H39" s="21">
        <v>340.19</v>
      </c>
    </row>
    <row r="40" spans="1:8" x14ac:dyDescent="0.2">
      <c r="A40" s="15">
        <v>46101</v>
      </c>
      <c r="B40" t="s">
        <v>94</v>
      </c>
      <c r="C40" s="16">
        <v>64.62</v>
      </c>
      <c r="D40" s="16">
        <v>32.31</v>
      </c>
      <c r="E40" t="s">
        <v>19</v>
      </c>
      <c r="F40" t="s">
        <v>19</v>
      </c>
      <c r="G40" t="s">
        <v>20</v>
      </c>
      <c r="H40" s="21">
        <v>294.89999999999998</v>
      </c>
    </row>
    <row r="41" spans="1:8" x14ac:dyDescent="0.2">
      <c r="A41" s="15">
        <v>46102</v>
      </c>
      <c r="B41" t="s">
        <v>95</v>
      </c>
      <c r="C41" s="16">
        <v>83.26</v>
      </c>
      <c r="D41" s="16">
        <v>41.63</v>
      </c>
      <c r="E41" t="s">
        <v>19</v>
      </c>
      <c r="F41" t="s">
        <v>19</v>
      </c>
      <c r="G41" t="s">
        <v>32</v>
      </c>
      <c r="H41" s="21">
        <v>380</v>
      </c>
    </row>
    <row r="42" spans="1:8" x14ac:dyDescent="0.2">
      <c r="A42" s="15">
        <v>46102</v>
      </c>
      <c r="B42" t="s">
        <v>84</v>
      </c>
      <c r="C42" s="16">
        <v>88.32</v>
      </c>
      <c r="D42" s="16">
        <v>44.16</v>
      </c>
      <c r="E42" t="s">
        <v>19</v>
      </c>
      <c r="F42" t="s">
        <v>19</v>
      </c>
      <c r="G42" t="s">
        <v>20</v>
      </c>
      <c r="H42" s="21">
        <v>403.07</v>
      </c>
    </row>
    <row r="43" spans="1:8" x14ac:dyDescent="0.2">
      <c r="A43" s="15">
        <v>46102</v>
      </c>
      <c r="B43" t="s">
        <v>96</v>
      </c>
      <c r="C43" s="16">
        <v>294.63</v>
      </c>
      <c r="D43" s="16">
        <v>147.31</v>
      </c>
      <c r="E43" t="s">
        <v>19</v>
      </c>
      <c r="F43" t="s">
        <v>19</v>
      </c>
      <c r="G43" t="s">
        <v>25</v>
      </c>
      <c r="H43" s="21">
        <v>1344.66</v>
      </c>
    </row>
    <row r="44" spans="1:8" x14ac:dyDescent="0.2">
      <c r="A44" s="15">
        <v>46103</v>
      </c>
      <c r="B44" t="s">
        <v>97</v>
      </c>
      <c r="C44" s="16">
        <v>25.42</v>
      </c>
      <c r="D44" s="16">
        <v>12.71</v>
      </c>
      <c r="E44" t="s">
        <v>19</v>
      </c>
      <c r="F44" t="s">
        <v>19</v>
      </c>
      <c r="G44" t="s">
        <v>20</v>
      </c>
      <c r="H44" s="21">
        <v>116</v>
      </c>
    </row>
    <row r="45" spans="1:8" x14ac:dyDescent="0.2">
      <c r="A45" s="15">
        <v>46104</v>
      </c>
      <c r="B45" t="s">
        <v>90</v>
      </c>
      <c r="C45" s="16">
        <v>44.27</v>
      </c>
      <c r="D45" s="16">
        <v>22.14</v>
      </c>
      <c r="E45" t="s">
        <v>19</v>
      </c>
      <c r="F45" t="s">
        <v>19</v>
      </c>
      <c r="G45" t="s">
        <v>32</v>
      </c>
      <c r="H45" s="21">
        <v>202.04</v>
      </c>
    </row>
    <row r="46" spans="1:8" x14ac:dyDescent="0.2">
      <c r="A46" s="15">
        <v>46104</v>
      </c>
      <c r="B46" t="s">
        <v>90</v>
      </c>
      <c r="C46" s="16">
        <v>84.79</v>
      </c>
      <c r="D46" s="16">
        <v>42.4</v>
      </c>
      <c r="E46" t="s">
        <v>19</v>
      </c>
      <c r="F46" t="s">
        <v>19</v>
      </c>
      <c r="G46" t="s">
        <v>32</v>
      </c>
      <c r="H46" s="21">
        <v>386.96</v>
      </c>
    </row>
    <row r="47" spans="1:8" x14ac:dyDescent="0.2">
      <c r="A47" s="15">
        <v>46105</v>
      </c>
      <c r="B47" t="s">
        <v>98</v>
      </c>
      <c r="C47" s="16">
        <v>95.75</v>
      </c>
      <c r="D47" s="16">
        <v>47.88</v>
      </c>
      <c r="E47" t="s">
        <v>19</v>
      </c>
      <c r="F47" t="s">
        <v>19</v>
      </c>
      <c r="G47" t="s">
        <v>32</v>
      </c>
      <c r="H47" s="21">
        <v>437</v>
      </c>
    </row>
    <row r="48" spans="1:8" x14ac:dyDescent="0.2">
      <c r="A48" s="15">
        <v>46105</v>
      </c>
      <c r="B48" t="s">
        <v>99</v>
      </c>
      <c r="C48" s="16">
        <v>40.76</v>
      </c>
      <c r="D48" s="16">
        <v>20.38</v>
      </c>
      <c r="E48" t="s">
        <v>19</v>
      </c>
      <c r="F48" t="s">
        <v>19</v>
      </c>
      <c r="G48" t="s">
        <v>32</v>
      </c>
      <c r="H48" s="21">
        <v>186</v>
      </c>
    </row>
    <row r="49" spans="1:8" x14ac:dyDescent="0.2">
      <c r="A49" s="15">
        <v>46105</v>
      </c>
      <c r="B49" t="s">
        <v>90</v>
      </c>
      <c r="C49" s="16">
        <v>33.51</v>
      </c>
      <c r="D49" s="16">
        <v>16.75</v>
      </c>
      <c r="E49" t="s">
        <v>19</v>
      </c>
      <c r="F49" t="s">
        <v>19</v>
      </c>
      <c r="G49" t="s">
        <v>32</v>
      </c>
      <c r="H49" s="21">
        <v>152.93</v>
      </c>
    </row>
    <row r="50" spans="1:8" x14ac:dyDescent="0.2">
      <c r="A50" s="15">
        <v>46106</v>
      </c>
      <c r="B50" t="s">
        <v>100</v>
      </c>
      <c r="C50" s="16">
        <v>427.27</v>
      </c>
      <c r="D50" s="16">
        <v>213.63</v>
      </c>
      <c r="E50" t="s">
        <v>19</v>
      </c>
      <c r="F50" t="s">
        <v>19</v>
      </c>
      <c r="G50" t="s">
        <v>32</v>
      </c>
      <c r="H50" s="21">
        <v>1950</v>
      </c>
    </row>
    <row r="51" spans="1:8" x14ac:dyDescent="0.2">
      <c r="A51" s="15">
        <v>46106</v>
      </c>
      <c r="B51" t="s">
        <v>90</v>
      </c>
      <c r="C51" s="16">
        <v>94.91</v>
      </c>
      <c r="D51" s="16">
        <v>47.45</v>
      </c>
      <c r="E51" t="s">
        <v>19</v>
      </c>
      <c r="F51" t="s">
        <v>19</v>
      </c>
      <c r="G51" t="s">
        <v>32</v>
      </c>
      <c r="H51" s="21">
        <v>433.16</v>
      </c>
    </row>
    <row r="52" spans="1:8" x14ac:dyDescent="0.2">
      <c r="A52" s="15">
        <v>46108</v>
      </c>
      <c r="B52" t="s">
        <v>101</v>
      </c>
      <c r="C52" s="16">
        <v>54.78</v>
      </c>
      <c r="D52" s="16">
        <v>27.39</v>
      </c>
      <c r="E52" t="s">
        <v>19</v>
      </c>
      <c r="F52" t="s">
        <v>19</v>
      </c>
      <c r="G52" t="s">
        <v>25</v>
      </c>
      <c r="H52" s="21">
        <v>250</v>
      </c>
    </row>
    <row r="53" spans="1:8" x14ac:dyDescent="0.2">
      <c r="A53" s="15">
        <v>46108</v>
      </c>
      <c r="B53" t="s">
        <v>90</v>
      </c>
      <c r="C53" s="16">
        <v>51.36</v>
      </c>
      <c r="D53" s="16">
        <v>25.68</v>
      </c>
      <c r="E53" t="s">
        <v>19</v>
      </c>
      <c r="F53" t="s">
        <v>19</v>
      </c>
      <c r="G53" t="s">
        <v>32</v>
      </c>
      <c r="H53" s="21">
        <v>234.41</v>
      </c>
    </row>
    <row r="54" spans="1:8" x14ac:dyDescent="0.2">
      <c r="A54" s="15">
        <v>46109</v>
      </c>
      <c r="B54" t="s">
        <v>102</v>
      </c>
      <c r="C54" s="16">
        <v>277.07</v>
      </c>
      <c r="D54" s="16">
        <v>138.53</v>
      </c>
      <c r="E54" t="s">
        <v>19</v>
      </c>
      <c r="F54" t="s">
        <v>19</v>
      </c>
      <c r="G54" t="s">
        <v>20</v>
      </c>
      <c r="H54" s="21">
        <v>1264.51</v>
      </c>
    </row>
    <row r="55" spans="1:8" x14ac:dyDescent="0.2">
      <c r="A55" s="15">
        <v>46110</v>
      </c>
      <c r="B55" t="s">
        <v>103</v>
      </c>
      <c r="C55" s="16">
        <v>159.94999999999999</v>
      </c>
      <c r="D55" s="16">
        <v>79.97</v>
      </c>
      <c r="E55" t="s">
        <v>19</v>
      </c>
      <c r="F55" t="s">
        <v>19</v>
      </c>
      <c r="G55" t="s">
        <v>32</v>
      </c>
      <c r="H55" s="21">
        <v>730</v>
      </c>
    </row>
    <row r="56" spans="1:8" x14ac:dyDescent="0.2">
      <c r="A56" s="15">
        <v>46110</v>
      </c>
      <c r="B56" t="s">
        <v>104</v>
      </c>
      <c r="C56" s="16">
        <v>31.77</v>
      </c>
      <c r="D56" s="16">
        <v>15.88</v>
      </c>
      <c r="E56" t="s">
        <v>19</v>
      </c>
      <c r="F56" t="s">
        <v>19</v>
      </c>
      <c r="G56" t="s">
        <v>32</v>
      </c>
      <c r="H56" s="21">
        <v>145</v>
      </c>
    </row>
    <row r="57" spans="1:8" x14ac:dyDescent="0.2">
      <c r="A57" s="15">
        <v>46110</v>
      </c>
      <c r="B57" t="s">
        <v>88</v>
      </c>
      <c r="C57" s="16">
        <v>133.75</v>
      </c>
      <c r="D57" s="16">
        <v>66.88</v>
      </c>
      <c r="E57" t="s">
        <v>19</v>
      </c>
      <c r="F57" t="s">
        <v>19</v>
      </c>
      <c r="G57" t="s">
        <v>25</v>
      </c>
      <c r="H57" s="21">
        <v>610.42999999999995</v>
      </c>
    </row>
    <row r="58" spans="1:8" x14ac:dyDescent="0.2">
      <c r="A58" s="15">
        <v>46110</v>
      </c>
      <c r="B58" t="s">
        <v>105</v>
      </c>
      <c r="C58" s="16">
        <v>49.79</v>
      </c>
      <c r="D58" s="16">
        <v>24.89</v>
      </c>
      <c r="E58" t="s">
        <v>19</v>
      </c>
      <c r="F58" t="s">
        <v>19</v>
      </c>
      <c r="G58" t="s">
        <v>25</v>
      </c>
      <c r="H58" s="21">
        <v>227.23</v>
      </c>
    </row>
    <row r="59" spans="1:8" x14ac:dyDescent="0.2">
      <c r="A59" s="15">
        <v>46111</v>
      </c>
      <c r="B59" t="s">
        <v>106</v>
      </c>
      <c r="C59" s="16">
        <v>23.66</v>
      </c>
      <c r="D59" s="16">
        <v>11.83</v>
      </c>
      <c r="E59" t="s">
        <v>19</v>
      </c>
      <c r="F59" t="s">
        <v>19</v>
      </c>
      <c r="G59" t="s">
        <v>25</v>
      </c>
      <c r="H59" s="21">
        <v>108</v>
      </c>
    </row>
    <row r="60" spans="1:8" x14ac:dyDescent="0.2">
      <c r="A60" s="15">
        <v>46111</v>
      </c>
      <c r="B60" t="s">
        <v>107</v>
      </c>
      <c r="C60" s="16">
        <v>81.069999999999993</v>
      </c>
      <c r="D60" s="16">
        <v>40.53</v>
      </c>
      <c r="E60" t="s">
        <v>19</v>
      </c>
      <c r="F60" t="s">
        <v>19</v>
      </c>
      <c r="G60" t="s">
        <v>25</v>
      </c>
      <c r="H60" s="21">
        <v>370</v>
      </c>
    </row>
    <row r="61" spans="1:8" x14ac:dyDescent="0.2">
      <c r="A61" s="15">
        <v>46111</v>
      </c>
      <c r="B61" t="s">
        <v>107</v>
      </c>
      <c r="C61" s="16">
        <v>64.86</v>
      </c>
      <c r="D61" s="16">
        <v>32.43</v>
      </c>
      <c r="E61" t="s">
        <v>19</v>
      </c>
      <c r="F61" t="s">
        <v>19</v>
      </c>
      <c r="G61" t="s">
        <v>25</v>
      </c>
      <c r="H61" s="21">
        <v>296</v>
      </c>
    </row>
    <row r="62" spans="1:8" x14ac:dyDescent="0.2">
      <c r="A62" s="15">
        <v>46112</v>
      </c>
      <c r="B62" t="s">
        <v>108</v>
      </c>
      <c r="C62" s="16">
        <v>208.16</v>
      </c>
      <c r="D62" s="16">
        <v>104.08</v>
      </c>
      <c r="E62" t="s">
        <v>19</v>
      </c>
      <c r="F62" t="s">
        <v>19</v>
      </c>
      <c r="G62" t="s">
        <v>25</v>
      </c>
      <c r="H62" s="21">
        <v>950</v>
      </c>
    </row>
    <row r="63" spans="1:8" x14ac:dyDescent="0.2">
      <c r="A63" s="15">
        <v>46112</v>
      </c>
      <c r="B63" t="s">
        <v>120</v>
      </c>
      <c r="C63" s="16">
        <v>502</v>
      </c>
      <c r="D63" s="16">
        <f>C63/2</f>
        <v>251</v>
      </c>
      <c r="E63" t="s">
        <v>19</v>
      </c>
      <c r="F63" t="s">
        <v>19</v>
      </c>
      <c r="G63" t="s">
        <v>25</v>
      </c>
      <c r="H63" s="21">
        <v>2250</v>
      </c>
    </row>
    <row r="83" spans="8:8" x14ac:dyDescent="0.2">
      <c r="H83" s="21"/>
    </row>
    <row r="84" spans="8:8" x14ac:dyDescent="0.2">
      <c r="H84" s="21"/>
    </row>
    <row r="85" spans="8:8" x14ac:dyDescent="0.2">
      <c r="H85" s="21"/>
    </row>
    <row r="86" spans="8:8" x14ac:dyDescent="0.2">
      <c r="H86" s="21"/>
    </row>
    <row r="87" spans="8:8" x14ac:dyDescent="0.2">
      <c r="H87" s="21"/>
    </row>
    <row r="88" spans="8:8" x14ac:dyDescent="0.2">
      <c r="H88" s="21"/>
    </row>
    <row r="89" spans="8:8" x14ac:dyDescent="0.2">
      <c r="H89" s="21"/>
    </row>
    <row r="90" spans="8:8" x14ac:dyDescent="0.2">
      <c r="H90" s="21"/>
    </row>
    <row r="91" spans="8:8" x14ac:dyDescent="0.2">
      <c r="H91" s="21"/>
    </row>
    <row r="92" spans="8:8" x14ac:dyDescent="0.2">
      <c r="H92" s="21"/>
    </row>
    <row r="93" spans="8:8" x14ac:dyDescent="0.2">
      <c r="H93" s="21"/>
    </row>
    <row r="94" spans="8:8" x14ac:dyDescent="0.2">
      <c r="H94" s="21"/>
    </row>
    <row r="95" spans="8:8" x14ac:dyDescent="0.2">
      <c r="H95" s="21"/>
    </row>
    <row r="96" spans="8:8" x14ac:dyDescent="0.2">
      <c r="H96" s="21"/>
    </row>
    <row r="97" spans="8:8" x14ac:dyDescent="0.2">
      <c r="H97" s="21"/>
    </row>
    <row r="98" spans="8:8" x14ac:dyDescent="0.2">
      <c r="H98" s="21"/>
    </row>
    <row r="99" spans="8:8" x14ac:dyDescent="0.2">
      <c r="H99" s="21"/>
    </row>
    <row r="100" spans="8:8" x14ac:dyDescent="0.2">
      <c r="H100" s="21"/>
    </row>
    <row r="101" spans="8:8" x14ac:dyDescent="0.2">
      <c r="H101" s="21"/>
    </row>
    <row r="102" spans="8:8" x14ac:dyDescent="0.2">
      <c r="H102" s="21"/>
    </row>
    <row r="103" spans="8:8" x14ac:dyDescent="0.2">
      <c r="H103" s="21"/>
    </row>
    <row r="104" spans="8:8" x14ac:dyDescent="0.2">
      <c r="H104" s="21"/>
    </row>
    <row r="105" spans="8:8" x14ac:dyDescent="0.2">
      <c r="H105" s="21"/>
    </row>
    <row r="106" spans="8:8" x14ac:dyDescent="0.2">
      <c r="H106" s="21"/>
    </row>
    <row r="107" spans="8:8" x14ac:dyDescent="0.2">
      <c r="H107" s="21"/>
    </row>
    <row r="108" spans="8:8" x14ac:dyDescent="0.2">
      <c r="H108" s="21"/>
    </row>
    <row r="109" spans="8:8" x14ac:dyDescent="0.2">
      <c r="H109" s="21"/>
    </row>
    <row r="110" spans="8:8" x14ac:dyDescent="0.2">
      <c r="H110" s="21"/>
    </row>
    <row r="111" spans="8:8" x14ac:dyDescent="0.2">
      <c r="H111" s="21"/>
    </row>
    <row r="112" spans="8:8" x14ac:dyDescent="0.2">
      <c r="H112" s="21"/>
    </row>
    <row r="113" spans="8:8" x14ac:dyDescent="0.2">
      <c r="H113" s="21"/>
    </row>
    <row r="114" spans="8:8" x14ac:dyDescent="0.2">
      <c r="H114" s="21"/>
    </row>
    <row r="115" spans="8:8" x14ac:dyDescent="0.2">
      <c r="H115" s="21"/>
    </row>
    <row r="116" spans="8:8" x14ac:dyDescent="0.2">
      <c r="H116" s="21"/>
    </row>
  </sheetData>
  <mergeCells count="3">
    <mergeCell ref="J1:L1"/>
    <mergeCell ref="J7:L7"/>
    <mergeCell ref="J13:L13"/>
  </mergeCells>
  <conditionalFormatting sqref="E64:F121 E21:E63">
    <cfRule type="expression" dxfId="20" priority="4">
      <formula>E21="Yes"</formula>
    </cfRule>
    <cfRule type="expression" dxfId="19" priority="5">
      <formula>E21="No"</formula>
    </cfRule>
  </conditionalFormatting>
  <conditionalFormatting sqref="G2:G121">
    <cfRule type="expression" dxfId="18" priority="8">
      <formula>G2="Groceries"</formula>
    </cfRule>
    <cfRule type="expression" dxfId="17" priority="9">
      <formula>G2="Dine Out/Takeaways"</formula>
    </cfRule>
    <cfRule type="expression" dxfId="16" priority="10">
      <formula>G2="Entertainment"</formula>
    </cfRule>
  </conditionalFormatting>
  <conditionalFormatting sqref="C2:C121">
    <cfRule type="dataBar" priority="7403">
      <dataBar>
        <cfvo type="min"/>
        <cfvo type="max"/>
        <color rgb="FF00B4D8"/>
      </dataBar>
    </cfRule>
  </conditionalFormatting>
  <conditionalFormatting sqref="E2:F20 F21:F63">
    <cfRule type="expression" dxfId="15" priority="1">
      <formula>E2="Yes"</formula>
    </cfRule>
    <cfRule type="expression" dxfId="14" priority="2">
      <formula>E2="No"</formula>
    </cfRule>
  </conditionalFormatting>
  <dataValidations count="2">
    <dataValidation type="list" allowBlank="1" showErrorMessage="1" errorTitle="Invalid Category" error="Use the dropdown to select a valid category." promptTitle="Category" prompt="Pick a category" sqref="G21:G121" xr:uid="{00000000-0002-0000-0200-000000000000}">
      <formula1>"Groceries,Dine Out/Takeaways,Entertainment"</formula1>
    </dataValidation>
    <dataValidation type="list" allowBlank="1" showErrorMessage="1" errorTitle="Invalid Value" error="Please select Yes or No." promptTitle="Paid Status" prompt="Has this been paid?" sqref="E21:E121 F64:F121" xr:uid="{00000000-0002-0000-0200-000001000000}">
      <formula1>"Yes,No"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MarkRowPaid">
                <anchor moveWithCells="1" sizeWithCells="1">
                  <from>
                    <xdr:col>8</xdr:col>
                    <xdr:colOff>1422400</xdr:colOff>
                    <xdr:row>21</xdr:row>
                    <xdr:rowOff>139700</xdr:rowOff>
                  </from>
                  <to>
                    <xdr:col>11</xdr:col>
                    <xdr:colOff>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AddRow">
                <anchor moveWithCells="1" sizeWithCells="1">
                  <from>
                    <xdr:col>8</xdr:col>
                    <xdr:colOff>1460500</xdr:colOff>
                    <xdr:row>24</xdr:row>
                    <xdr:rowOff>38100</xdr:rowOff>
                  </from>
                  <to>
                    <xdr:col>11</xdr:col>
                    <xdr:colOff>25400</xdr:colOff>
                    <xdr:row>25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DeleteRow">
                <anchor moveWithCells="1" sizeWithCells="1">
                  <from>
                    <xdr:col>8</xdr:col>
                    <xdr:colOff>1435100</xdr:colOff>
                    <xdr:row>26</xdr:row>
                    <xdr:rowOff>25400</xdr:rowOff>
                  </from>
                  <to>
                    <xdr:col>11</xdr:col>
                    <xdr:colOff>12700</xdr:colOff>
                    <xdr:row>27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8CAE4"/>
  </sheetPr>
  <dimension ref="A1:L66"/>
  <sheetViews>
    <sheetView workbookViewId="0">
      <pane ySplit="1" topLeftCell="A60" activePane="bottomLeft" state="frozen"/>
      <selection pane="bottomLeft" activeCell="F31" sqref="F31:F66"/>
    </sheetView>
  </sheetViews>
  <sheetFormatPr baseColWidth="10" defaultColWidth="8.83203125" defaultRowHeight="15" x14ac:dyDescent="0.2"/>
  <cols>
    <col min="1" max="1" width="12" customWidth="1"/>
    <col min="2" max="2" width="30" customWidth="1"/>
    <col min="3" max="3" width="15.5" bestFit="1" customWidth="1"/>
    <col min="4" max="4" width="15" bestFit="1" customWidth="1"/>
    <col min="5" max="6" width="11" customWidth="1"/>
    <col min="7" max="7" width="20" customWidth="1"/>
    <col min="8" max="8" width="13.5" bestFit="1" customWidth="1"/>
    <col min="9" max="9" width="9.5" customWidth="1"/>
    <col min="10" max="10" width="18.33203125" bestFit="1" customWidth="1"/>
    <col min="11" max="11" width="14" customWidth="1"/>
    <col min="12" max="12" width="12.1640625" bestFit="1" customWidth="1"/>
  </cols>
  <sheetData>
    <row r="1" spans="1:12" ht="26" customHeight="1" x14ac:dyDescent="0.2">
      <c r="A1" s="5" t="s">
        <v>10</v>
      </c>
      <c r="B1" s="5" t="s">
        <v>11</v>
      </c>
      <c r="C1" s="5" t="s">
        <v>12</v>
      </c>
      <c r="D1" s="5" t="s">
        <v>13</v>
      </c>
      <c r="E1" s="5" t="s">
        <v>14</v>
      </c>
      <c r="F1" s="5" t="s">
        <v>15</v>
      </c>
      <c r="G1" s="5" t="s">
        <v>16</v>
      </c>
      <c r="H1" s="25" t="s">
        <v>119</v>
      </c>
      <c r="J1" s="90" t="s">
        <v>17</v>
      </c>
      <c r="K1" s="91"/>
      <c r="L1" s="92"/>
    </row>
    <row r="2" spans="1:12" ht="17" customHeight="1" x14ac:dyDescent="0.2">
      <c r="A2" s="15">
        <v>46113</v>
      </c>
      <c r="B2" t="s">
        <v>109</v>
      </c>
      <c r="C2" s="16">
        <v>147.9</v>
      </c>
      <c r="D2" s="16">
        <v>73.95</v>
      </c>
      <c r="E2" t="s">
        <v>19</v>
      </c>
      <c r="F2" t="s">
        <v>19</v>
      </c>
      <c r="G2" t="s">
        <v>20</v>
      </c>
      <c r="H2" s="21">
        <v>675</v>
      </c>
      <c r="J2" s="1"/>
      <c r="K2" s="1" t="s">
        <v>21</v>
      </c>
      <c r="L2" s="1" t="s">
        <v>22</v>
      </c>
    </row>
    <row r="3" spans="1:12" ht="17" customHeight="1" x14ac:dyDescent="0.2">
      <c r="A3" s="15">
        <v>46113</v>
      </c>
      <c r="B3" t="s">
        <v>110</v>
      </c>
      <c r="C3" s="16">
        <v>45.79</v>
      </c>
      <c r="D3" s="16">
        <v>22.89</v>
      </c>
      <c r="E3" t="s">
        <v>19</v>
      </c>
      <c r="F3" t="s">
        <v>19</v>
      </c>
      <c r="G3" t="s">
        <v>32</v>
      </c>
      <c r="H3" s="21">
        <v>209</v>
      </c>
      <c r="J3" s="2" t="s">
        <v>8</v>
      </c>
      <c r="K3" s="14">
        <f>SUM(C2:C66)/2</f>
        <v>4201.3300000000008</v>
      </c>
      <c r="L3" s="14">
        <f>SUMIF(E2:E66,"No",D2:D66)</f>
        <v>0</v>
      </c>
    </row>
    <row r="4" spans="1:12" ht="17" customHeight="1" x14ac:dyDescent="0.2">
      <c r="A4" s="15">
        <v>46113</v>
      </c>
      <c r="B4" t="s">
        <v>110</v>
      </c>
      <c r="C4" s="16">
        <v>39.44</v>
      </c>
      <c r="D4" s="16">
        <v>19.72</v>
      </c>
      <c r="E4" t="s">
        <v>19</v>
      </c>
      <c r="F4" t="s">
        <v>19</v>
      </c>
      <c r="G4" t="s">
        <v>20</v>
      </c>
      <c r="H4" s="21">
        <v>180</v>
      </c>
      <c r="J4" s="2" t="s">
        <v>7</v>
      </c>
      <c r="K4" s="14">
        <f>SUM(C2:C66)/2</f>
        <v>4201.3300000000008</v>
      </c>
      <c r="L4" s="14">
        <f>SUMIF(F2:F66,"No",D2:D66)</f>
        <v>0</v>
      </c>
    </row>
    <row r="5" spans="1:12" ht="17" customHeight="1" x14ac:dyDescent="0.2">
      <c r="A5" s="15">
        <v>46113</v>
      </c>
      <c r="B5" t="s">
        <v>89</v>
      </c>
      <c r="C5" s="16">
        <v>342.26</v>
      </c>
      <c r="D5" s="16">
        <v>171.13</v>
      </c>
      <c r="E5" t="s">
        <v>19</v>
      </c>
      <c r="F5" t="s">
        <v>19</v>
      </c>
      <c r="G5" t="s">
        <v>32</v>
      </c>
      <c r="H5" s="21">
        <v>1562</v>
      </c>
      <c r="J5" s="2" t="s">
        <v>3</v>
      </c>
      <c r="K5" s="14">
        <f>SUM(C2:C66)</f>
        <v>8402.6600000000017</v>
      </c>
      <c r="L5" s="14"/>
    </row>
    <row r="6" spans="1:12" x14ac:dyDescent="0.2">
      <c r="A6" s="15">
        <v>46113</v>
      </c>
      <c r="B6" t="s">
        <v>90</v>
      </c>
      <c r="C6" s="16">
        <v>94.74</v>
      </c>
      <c r="D6" s="16">
        <v>47.37</v>
      </c>
      <c r="E6" t="s">
        <v>19</v>
      </c>
      <c r="F6" t="s">
        <v>19</v>
      </c>
      <c r="G6" t="s">
        <v>32</v>
      </c>
      <c r="H6" s="21">
        <v>432.36</v>
      </c>
    </row>
    <row r="7" spans="1:12" ht="22" customHeight="1" x14ac:dyDescent="0.2">
      <c r="A7" s="15">
        <v>46114</v>
      </c>
      <c r="B7" t="s">
        <v>112</v>
      </c>
      <c r="C7" s="16">
        <v>22.12</v>
      </c>
      <c r="D7" s="16">
        <v>11.06</v>
      </c>
      <c r="E7" t="s">
        <v>19</v>
      </c>
      <c r="F7" t="s">
        <v>19</v>
      </c>
      <c r="G7" t="s">
        <v>20</v>
      </c>
      <c r="H7" s="21">
        <v>100.95</v>
      </c>
      <c r="J7" s="90" t="s">
        <v>30</v>
      </c>
      <c r="K7" s="91"/>
      <c r="L7" s="92"/>
    </row>
    <row r="8" spans="1:12" ht="17" customHeight="1" x14ac:dyDescent="0.2">
      <c r="A8" s="15">
        <v>46114</v>
      </c>
      <c r="B8" t="s">
        <v>90</v>
      </c>
      <c r="C8" s="16">
        <v>36.24</v>
      </c>
      <c r="D8" s="16">
        <v>18.12</v>
      </c>
      <c r="E8" t="s">
        <v>19</v>
      </c>
      <c r="F8" t="s">
        <v>19</v>
      </c>
      <c r="G8" t="s">
        <v>32</v>
      </c>
      <c r="H8" s="21">
        <v>165.41</v>
      </c>
      <c r="J8" s="1" t="s">
        <v>16</v>
      </c>
      <c r="K8" s="1" t="s">
        <v>12</v>
      </c>
      <c r="L8" s="1" t="s">
        <v>33</v>
      </c>
    </row>
    <row r="9" spans="1:12" ht="17" customHeight="1" x14ac:dyDescent="0.2">
      <c r="A9" s="15">
        <v>46116</v>
      </c>
      <c r="B9" t="s">
        <v>111</v>
      </c>
      <c r="C9" s="16">
        <v>251.98</v>
      </c>
      <c r="D9" s="16">
        <v>125.99</v>
      </c>
      <c r="E9" t="s">
        <v>19</v>
      </c>
      <c r="F9" t="s">
        <v>19</v>
      </c>
      <c r="G9" t="s">
        <v>25</v>
      </c>
      <c r="H9" s="21">
        <v>1150</v>
      </c>
      <c r="J9" s="7" t="s">
        <v>4</v>
      </c>
      <c r="K9" s="14">
        <f>SUMIF(G2:G66,"Groceries",C2:C66)</f>
        <v>1653.6899999999998</v>
      </c>
      <c r="L9" s="8">
        <f>IFERROR(K9/K5,"—")</f>
        <v>0.19680553538998358</v>
      </c>
    </row>
    <row r="10" spans="1:12" ht="17" customHeight="1" x14ac:dyDescent="0.2">
      <c r="A10" s="15">
        <v>46116</v>
      </c>
      <c r="B10" t="s">
        <v>113</v>
      </c>
      <c r="C10" s="16">
        <v>18.600000000000001</v>
      </c>
      <c r="D10" s="16">
        <v>9.3000000000000007</v>
      </c>
      <c r="E10" t="s">
        <v>19</v>
      </c>
      <c r="F10" t="s">
        <v>19</v>
      </c>
      <c r="G10" t="s">
        <v>32</v>
      </c>
      <c r="H10" s="21">
        <v>84.9</v>
      </c>
      <c r="J10" s="9" t="s">
        <v>5</v>
      </c>
      <c r="K10" s="14">
        <f>SUMIF(G2:G66,"Dine Out/Takeaways",C2:C66)</f>
        <v>5520.2599999999993</v>
      </c>
      <c r="L10" s="8">
        <f>IFERROR(K10/K5,"—")</f>
        <v>0.65696577036319426</v>
      </c>
    </row>
    <row r="11" spans="1:12" ht="17" customHeight="1" x14ac:dyDescent="0.2">
      <c r="A11" s="15">
        <v>46116</v>
      </c>
      <c r="B11" t="s">
        <v>114</v>
      </c>
      <c r="C11" s="16">
        <v>43.82</v>
      </c>
      <c r="D11" s="16">
        <v>21.91</v>
      </c>
      <c r="E11" t="s">
        <v>19</v>
      </c>
      <c r="F11" t="s">
        <v>19</v>
      </c>
      <c r="G11" t="s">
        <v>25</v>
      </c>
      <c r="H11" s="21">
        <v>200</v>
      </c>
      <c r="J11" s="10" t="s">
        <v>6</v>
      </c>
      <c r="K11" s="14">
        <f>SUMIF(G2:G66,"Entertainment",C2:C66)</f>
        <v>1228.71</v>
      </c>
      <c r="L11" s="8">
        <f>IFERROR(K11/K5,"—")</f>
        <v>0.14622869424682181</v>
      </c>
    </row>
    <row r="12" spans="1:12" x14ac:dyDescent="0.2">
      <c r="A12" s="15">
        <v>46116</v>
      </c>
      <c r="B12" t="s">
        <v>115</v>
      </c>
      <c r="C12" s="16">
        <v>429.03</v>
      </c>
      <c r="D12" s="16">
        <v>214.51</v>
      </c>
      <c r="E12" t="s">
        <v>19</v>
      </c>
      <c r="F12" t="s">
        <v>19</v>
      </c>
      <c r="G12" t="s">
        <v>32</v>
      </c>
      <c r="H12" s="21">
        <v>1958</v>
      </c>
    </row>
    <row r="13" spans="1:12" ht="22" customHeight="1" x14ac:dyDescent="0.2">
      <c r="A13" s="15">
        <v>46116</v>
      </c>
      <c r="B13" t="s">
        <v>97</v>
      </c>
      <c r="C13" s="16">
        <v>10.3</v>
      </c>
      <c r="D13" s="16">
        <v>5.15</v>
      </c>
      <c r="E13" t="s">
        <v>19</v>
      </c>
      <c r="F13" t="s">
        <v>19</v>
      </c>
      <c r="G13" t="s">
        <v>20</v>
      </c>
      <c r="H13" s="21">
        <v>47</v>
      </c>
      <c r="J13" s="90" t="s">
        <v>37</v>
      </c>
      <c r="K13" s="91"/>
      <c r="L13" s="92"/>
    </row>
    <row r="14" spans="1:12" ht="17" customHeight="1" x14ac:dyDescent="0.2">
      <c r="A14" s="15">
        <v>46116</v>
      </c>
      <c r="B14" t="s">
        <v>116</v>
      </c>
      <c r="C14" s="16">
        <v>39.44</v>
      </c>
      <c r="D14" s="16">
        <v>19.72</v>
      </c>
      <c r="E14" t="s">
        <v>19</v>
      </c>
      <c r="F14" t="s">
        <v>19</v>
      </c>
      <c r="G14" t="s">
        <v>32</v>
      </c>
      <c r="H14" s="21">
        <v>180</v>
      </c>
      <c r="J14" s="1" t="s">
        <v>39</v>
      </c>
      <c r="K14" s="1" t="s">
        <v>40</v>
      </c>
      <c r="L14" s="1"/>
    </row>
    <row r="15" spans="1:12" ht="17" customHeight="1" x14ac:dyDescent="0.2">
      <c r="A15" s="15">
        <v>46116</v>
      </c>
      <c r="B15" t="s">
        <v>90</v>
      </c>
      <c r="C15" s="16">
        <v>38.51</v>
      </c>
      <c r="D15" s="16">
        <v>19.25</v>
      </c>
      <c r="E15" t="s">
        <v>19</v>
      </c>
      <c r="F15" t="s">
        <v>19</v>
      </c>
      <c r="G15" t="s">
        <v>32</v>
      </c>
      <c r="H15" s="21">
        <v>175.74</v>
      </c>
      <c r="J15" s="2" t="s">
        <v>42</v>
      </c>
      <c r="K15" s="23">
        <f>COUNTA(B2:B66)</f>
        <v>65</v>
      </c>
    </row>
    <row r="16" spans="1:12" ht="17" customHeight="1" x14ac:dyDescent="0.2">
      <c r="A16" s="15">
        <v>46117</v>
      </c>
      <c r="B16" t="s">
        <v>117</v>
      </c>
      <c r="C16" s="16">
        <v>155.4</v>
      </c>
      <c r="D16" s="16">
        <v>77.7</v>
      </c>
      <c r="E16" t="s">
        <v>19</v>
      </c>
      <c r="F16" t="s">
        <v>19</v>
      </c>
      <c r="G16" t="s">
        <v>20</v>
      </c>
      <c r="H16" s="21">
        <v>709.2</v>
      </c>
      <c r="J16" s="2" t="s">
        <v>43</v>
      </c>
      <c r="K16" s="14">
        <f>IFERROR(AVERAGE(C2:C66),0)</f>
        <v>129.27169230769232</v>
      </c>
    </row>
    <row r="17" spans="1:11" ht="17" customHeight="1" x14ac:dyDescent="0.2">
      <c r="A17" s="15">
        <v>46117</v>
      </c>
      <c r="B17" t="s">
        <v>90</v>
      </c>
      <c r="C17" s="16">
        <v>89.77</v>
      </c>
      <c r="D17" s="16">
        <v>44.88</v>
      </c>
      <c r="E17" t="s">
        <v>19</v>
      </c>
      <c r="F17" t="s">
        <v>19</v>
      </c>
      <c r="G17" t="s">
        <v>32</v>
      </c>
      <c r="H17" s="21">
        <v>409.71</v>
      </c>
      <c r="J17" s="2" t="s">
        <v>45</v>
      </c>
      <c r="K17" s="14">
        <f>IFERROR(MAX(C2:C66),0)</f>
        <v>459</v>
      </c>
    </row>
    <row r="18" spans="1:11" ht="17" customHeight="1" x14ac:dyDescent="0.2">
      <c r="A18" s="15">
        <v>46118</v>
      </c>
      <c r="B18" t="s">
        <v>121</v>
      </c>
      <c r="C18" s="22">
        <v>248</v>
      </c>
      <c r="D18" s="16">
        <f t="shared" ref="D18:D31" si="0">C18/2</f>
        <v>124</v>
      </c>
      <c r="E18" t="s">
        <v>19</v>
      </c>
      <c r="F18" t="s">
        <v>19</v>
      </c>
      <c r="G18" t="s">
        <v>32</v>
      </c>
      <c r="H18" s="21">
        <v>1117</v>
      </c>
      <c r="J18" s="2" t="s">
        <v>48</v>
      </c>
      <c r="K18" s="23">
        <f>COUNTIF(G2:G66,"Dine Out/Takeaways")</f>
        <v>35</v>
      </c>
    </row>
    <row r="19" spans="1:11" ht="17" customHeight="1" x14ac:dyDescent="0.2">
      <c r="A19" s="15">
        <v>46119</v>
      </c>
      <c r="B19" t="s">
        <v>122</v>
      </c>
      <c r="C19" s="22">
        <v>424</v>
      </c>
      <c r="D19" s="16">
        <f t="shared" si="0"/>
        <v>212</v>
      </c>
      <c r="E19" t="s">
        <v>19</v>
      </c>
      <c r="F19" t="s">
        <v>19</v>
      </c>
      <c r="G19" t="s">
        <v>32</v>
      </c>
      <c r="H19" s="21">
        <v>1950</v>
      </c>
      <c r="J19" s="2" t="s">
        <v>50</v>
      </c>
      <c r="K19" s="23">
        <f>COUNTIF(G2:G66,"Entertainment")</f>
        <v>11</v>
      </c>
    </row>
    <row r="20" spans="1:11" x14ac:dyDescent="0.2">
      <c r="A20" s="15">
        <v>46120</v>
      </c>
      <c r="B20" t="s">
        <v>123</v>
      </c>
      <c r="C20" s="22">
        <v>424</v>
      </c>
      <c r="D20" s="16">
        <f t="shared" si="0"/>
        <v>212</v>
      </c>
      <c r="E20" t="s">
        <v>19</v>
      </c>
      <c r="F20" t="s">
        <v>19</v>
      </c>
      <c r="G20" t="s">
        <v>32</v>
      </c>
      <c r="H20" s="21">
        <v>1950</v>
      </c>
    </row>
    <row r="21" spans="1:11" x14ac:dyDescent="0.2">
      <c r="A21" s="15">
        <v>46121</v>
      </c>
      <c r="B21" t="s">
        <v>124</v>
      </c>
      <c r="C21" s="22">
        <v>149</v>
      </c>
      <c r="D21" s="16">
        <f t="shared" si="0"/>
        <v>74.5</v>
      </c>
      <c r="E21" t="s">
        <v>19</v>
      </c>
      <c r="F21" t="s">
        <v>19</v>
      </c>
      <c r="G21" t="s">
        <v>32</v>
      </c>
      <c r="H21" s="21">
        <v>687</v>
      </c>
    </row>
    <row r="22" spans="1:11" x14ac:dyDescent="0.2">
      <c r="A22" s="15">
        <v>46122</v>
      </c>
      <c r="B22" t="s">
        <v>124</v>
      </c>
      <c r="C22" s="22">
        <v>200</v>
      </c>
      <c r="D22" s="16">
        <f t="shared" si="0"/>
        <v>100</v>
      </c>
      <c r="E22" t="s">
        <v>19</v>
      </c>
      <c r="F22" t="s">
        <v>19</v>
      </c>
      <c r="G22" t="s">
        <v>32</v>
      </c>
      <c r="H22" s="21">
        <v>920</v>
      </c>
    </row>
    <row r="23" spans="1:11" x14ac:dyDescent="0.2">
      <c r="A23" s="15">
        <v>46123</v>
      </c>
      <c r="B23" t="s">
        <v>125</v>
      </c>
      <c r="C23" s="22">
        <v>124</v>
      </c>
      <c r="D23" s="16">
        <f t="shared" si="0"/>
        <v>62</v>
      </c>
      <c r="E23" t="s">
        <v>19</v>
      </c>
      <c r="F23" t="s">
        <v>19</v>
      </c>
      <c r="G23" t="s">
        <v>32</v>
      </c>
      <c r="H23" s="21">
        <v>572</v>
      </c>
    </row>
    <row r="24" spans="1:11" x14ac:dyDescent="0.2">
      <c r="A24" s="15">
        <v>46124</v>
      </c>
      <c r="B24" t="s">
        <v>126</v>
      </c>
      <c r="C24" s="22">
        <v>141</v>
      </c>
      <c r="D24" s="16">
        <f t="shared" si="0"/>
        <v>70.5</v>
      </c>
      <c r="E24" t="s">
        <v>19</v>
      </c>
      <c r="F24" t="s">
        <v>19</v>
      </c>
      <c r="G24" t="s">
        <v>32</v>
      </c>
      <c r="H24" s="21">
        <v>650</v>
      </c>
    </row>
    <row r="25" spans="1:11" x14ac:dyDescent="0.2">
      <c r="A25" s="15">
        <v>46125</v>
      </c>
      <c r="B25" t="s">
        <v>124</v>
      </c>
      <c r="C25" s="22">
        <v>301</v>
      </c>
      <c r="D25" s="16">
        <f t="shared" si="0"/>
        <v>150.5</v>
      </c>
      <c r="E25" t="s">
        <v>19</v>
      </c>
      <c r="F25" t="s">
        <v>19</v>
      </c>
      <c r="G25" t="s">
        <v>32</v>
      </c>
      <c r="H25" s="21">
        <v>1385</v>
      </c>
    </row>
    <row r="26" spans="1:11" x14ac:dyDescent="0.2">
      <c r="A26" s="15">
        <v>46126</v>
      </c>
      <c r="B26" t="s">
        <v>124</v>
      </c>
      <c r="C26" s="22">
        <v>92</v>
      </c>
      <c r="D26" s="16">
        <f t="shared" si="0"/>
        <v>46</v>
      </c>
      <c r="E26" t="s">
        <v>19</v>
      </c>
      <c r="F26" t="s">
        <v>19</v>
      </c>
      <c r="G26" t="s">
        <v>32</v>
      </c>
      <c r="H26" s="21">
        <v>425</v>
      </c>
    </row>
    <row r="27" spans="1:11" x14ac:dyDescent="0.2">
      <c r="A27" s="15">
        <v>46127</v>
      </c>
      <c r="B27" t="s">
        <v>111</v>
      </c>
      <c r="C27" s="22">
        <v>244</v>
      </c>
      <c r="D27" s="16">
        <f t="shared" si="0"/>
        <v>122</v>
      </c>
      <c r="E27" t="s">
        <v>19</v>
      </c>
      <c r="F27" t="s">
        <v>19</v>
      </c>
      <c r="G27" t="s">
        <v>32</v>
      </c>
      <c r="H27" s="21">
        <v>1098</v>
      </c>
    </row>
    <row r="28" spans="1:11" x14ac:dyDescent="0.2">
      <c r="A28" s="15">
        <v>46128</v>
      </c>
      <c r="B28" t="s">
        <v>127</v>
      </c>
      <c r="C28" s="22">
        <v>143</v>
      </c>
      <c r="D28" s="16">
        <f t="shared" si="0"/>
        <v>71.5</v>
      </c>
      <c r="E28" t="s">
        <v>19</v>
      </c>
      <c r="F28" t="s">
        <v>19</v>
      </c>
      <c r="G28" t="s">
        <v>32</v>
      </c>
      <c r="H28" s="21">
        <v>646</v>
      </c>
    </row>
    <row r="29" spans="1:11" x14ac:dyDescent="0.2">
      <c r="A29" s="15">
        <v>46129</v>
      </c>
      <c r="B29" t="s">
        <v>127</v>
      </c>
      <c r="C29" s="22">
        <v>108</v>
      </c>
      <c r="D29" s="16">
        <f t="shared" si="0"/>
        <v>54</v>
      </c>
      <c r="E29" t="s">
        <v>19</v>
      </c>
      <c r="F29" t="s">
        <v>19</v>
      </c>
      <c r="G29" t="s">
        <v>32</v>
      </c>
      <c r="H29" s="21">
        <v>500</v>
      </c>
    </row>
    <row r="30" spans="1:11" x14ac:dyDescent="0.2">
      <c r="A30" s="15">
        <v>46130</v>
      </c>
      <c r="B30" t="s">
        <v>124</v>
      </c>
      <c r="C30" s="22">
        <v>255</v>
      </c>
      <c r="D30" s="16">
        <f t="shared" si="0"/>
        <v>127.5</v>
      </c>
      <c r="E30" t="s">
        <v>19</v>
      </c>
      <c r="F30" t="s">
        <v>19</v>
      </c>
      <c r="G30" t="s">
        <v>32</v>
      </c>
      <c r="H30" s="21">
        <v>1173</v>
      </c>
    </row>
    <row r="31" spans="1:11" x14ac:dyDescent="0.2">
      <c r="A31" s="15">
        <v>46131</v>
      </c>
      <c r="B31" t="s">
        <v>127</v>
      </c>
      <c r="C31" s="22">
        <v>459</v>
      </c>
      <c r="D31" s="16">
        <f t="shared" si="0"/>
        <v>229.5</v>
      </c>
      <c r="E31" t="s">
        <v>19</v>
      </c>
      <c r="F31" t="s">
        <v>19</v>
      </c>
      <c r="G31" t="s">
        <v>32</v>
      </c>
      <c r="H31" s="21">
        <v>2113</v>
      </c>
    </row>
    <row r="32" spans="1:11" x14ac:dyDescent="0.2">
      <c r="A32" s="15">
        <v>46131</v>
      </c>
      <c r="B32" t="s">
        <v>128</v>
      </c>
      <c r="C32" s="16">
        <v>71.150000000000006</v>
      </c>
      <c r="D32" s="16">
        <v>35.58</v>
      </c>
      <c r="E32" t="s">
        <v>19</v>
      </c>
      <c r="F32" t="s">
        <v>19</v>
      </c>
      <c r="G32" t="s">
        <v>32</v>
      </c>
      <c r="H32" s="21"/>
    </row>
    <row r="33" spans="1:8" x14ac:dyDescent="0.2">
      <c r="A33" s="15">
        <v>46131</v>
      </c>
      <c r="B33" t="s">
        <v>129</v>
      </c>
      <c r="C33" s="16">
        <v>161.99</v>
      </c>
      <c r="D33" s="16">
        <v>81</v>
      </c>
      <c r="E33" t="s">
        <v>19</v>
      </c>
      <c r="F33" t="s">
        <v>19</v>
      </c>
      <c r="G33" t="s">
        <v>20</v>
      </c>
      <c r="H33" s="21"/>
    </row>
    <row r="34" spans="1:8" x14ac:dyDescent="0.2">
      <c r="A34" s="15">
        <v>46132</v>
      </c>
      <c r="B34" t="s">
        <v>130</v>
      </c>
      <c r="C34" s="16">
        <v>77.33</v>
      </c>
      <c r="D34" s="16">
        <v>38.659999999999997</v>
      </c>
      <c r="E34" t="s">
        <v>19</v>
      </c>
      <c r="F34" t="s">
        <v>19</v>
      </c>
      <c r="G34" t="s">
        <v>20</v>
      </c>
      <c r="H34" s="21"/>
    </row>
    <row r="35" spans="1:8" x14ac:dyDescent="0.2">
      <c r="A35" s="15">
        <v>46132</v>
      </c>
      <c r="B35" t="s">
        <v>130</v>
      </c>
      <c r="C35" s="16">
        <v>68.849999999999994</v>
      </c>
      <c r="D35" s="16">
        <v>34.42</v>
      </c>
      <c r="E35" t="s">
        <v>19</v>
      </c>
      <c r="F35" t="s">
        <v>19</v>
      </c>
      <c r="G35" t="s">
        <v>20</v>
      </c>
      <c r="H35" s="21"/>
    </row>
    <row r="36" spans="1:8" x14ac:dyDescent="0.2">
      <c r="A36" s="15">
        <v>46133</v>
      </c>
      <c r="B36" t="s">
        <v>131</v>
      </c>
      <c r="C36" s="16">
        <v>65.5</v>
      </c>
      <c r="D36" s="16">
        <v>32.75</v>
      </c>
      <c r="E36" t="s">
        <v>19</v>
      </c>
      <c r="F36" t="s">
        <v>19</v>
      </c>
      <c r="G36" t="s">
        <v>20</v>
      </c>
      <c r="H36" s="21"/>
    </row>
    <row r="37" spans="1:8" x14ac:dyDescent="0.2">
      <c r="A37" s="15">
        <v>46133</v>
      </c>
      <c r="B37" t="s">
        <v>132</v>
      </c>
      <c r="C37" s="16">
        <v>54</v>
      </c>
      <c r="D37" s="16">
        <v>27</v>
      </c>
      <c r="E37" t="s">
        <v>19</v>
      </c>
      <c r="F37" t="s">
        <v>19</v>
      </c>
      <c r="G37" t="s">
        <v>32</v>
      </c>
      <c r="H37" s="21"/>
    </row>
    <row r="38" spans="1:8" x14ac:dyDescent="0.2">
      <c r="A38" s="15">
        <v>46133</v>
      </c>
      <c r="B38" t="s">
        <v>133</v>
      </c>
      <c r="C38" s="16">
        <v>110</v>
      </c>
      <c r="D38" s="16">
        <v>55</v>
      </c>
      <c r="E38" t="s">
        <v>19</v>
      </c>
      <c r="F38" t="s">
        <v>19</v>
      </c>
      <c r="G38" t="s">
        <v>25</v>
      </c>
      <c r="H38" s="21"/>
    </row>
    <row r="39" spans="1:8" x14ac:dyDescent="0.2">
      <c r="A39" s="15">
        <v>46134</v>
      </c>
      <c r="B39" t="s">
        <v>130</v>
      </c>
      <c r="C39" s="16">
        <v>91.39</v>
      </c>
      <c r="D39" s="16">
        <v>45.7</v>
      </c>
      <c r="E39" t="s">
        <v>19</v>
      </c>
      <c r="F39" t="s">
        <v>19</v>
      </c>
      <c r="G39" t="s">
        <v>20</v>
      </c>
      <c r="H39" s="21"/>
    </row>
    <row r="40" spans="1:8" x14ac:dyDescent="0.2">
      <c r="A40" s="15">
        <v>46134</v>
      </c>
      <c r="B40" t="s">
        <v>134</v>
      </c>
      <c r="C40" s="16">
        <v>45.4</v>
      </c>
      <c r="D40" s="16">
        <v>22.7</v>
      </c>
      <c r="E40" t="s">
        <v>19</v>
      </c>
      <c r="F40" t="s">
        <v>19</v>
      </c>
      <c r="G40" t="s">
        <v>32</v>
      </c>
      <c r="H40" s="21"/>
    </row>
    <row r="41" spans="1:8" x14ac:dyDescent="0.2">
      <c r="A41" s="15">
        <v>46135</v>
      </c>
      <c r="B41" t="s">
        <v>134</v>
      </c>
      <c r="C41" s="16">
        <v>93.45</v>
      </c>
      <c r="D41" s="16">
        <v>46.73</v>
      </c>
      <c r="E41" t="s">
        <v>19</v>
      </c>
      <c r="F41" t="s">
        <v>19</v>
      </c>
      <c r="G41" t="s">
        <v>32</v>
      </c>
      <c r="H41" s="21"/>
    </row>
    <row r="42" spans="1:8" x14ac:dyDescent="0.2">
      <c r="A42" s="15">
        <v>46135</v>
      </c>
      <c r="B42" t="s">
        <v>130</v>
      </c>
      <c r="C42" s="16">
        <v>37.520000000000003</v>
      </c>
      <c r="D42" s="16">
        <v>18.760000000000002</v>
      </c>
      <c r="E42" t="s">
        <v>19</v>
      </c>
      <c r="F42" t="s">
        <v>19</v>
      </c>
      <c r="G42" t="s">
        <v>20</v>
      </c>
      <c r="H42" s="21"/>
    </row>
    <row r="43" spans="1:8" x14ac:dyDescent="0.2">
      <c r="A43" s="15">
        <v>46136</v>
      </c>
      <c r="B43" t="s">
        <v>130</v>
      </c>
      <c r="C43" s="16">
        <v>209.9</v>
      </c>
      <c r="D43" s="16">
        <v>104.95</v>
      </c>
      <c r="E43" t="s">
        <v>19</v>
      </c>
      <c r="F43" t="s">
        <v>19</v>
      </c>
      <c r="G43" t="s">
        <v>20</v>
      </c>
      <c r="H43" s="21"/>
    </row>
    <row r="44" spans="1:8" x14ac:dyDescent="0.2">
      <c r="A44" s="15">
        <v>46136</v>
      </c>
      <c r="B44" t="s">
        <v>135</v>
      </c>
      <c r="C44" s="16">
        <v>92</v>
      </c>
      <c r="D44" s="16">
        <v>46</v>
      </c>
      <c r="E44" t="s">
        <v>19</v>
      </c>
      <c r="F44" t="s">
        <v>19</v>
      </c>
      <c r="G44" t="s">
        <v>32</v>
      </c>
    </row>
    <row r="45" spans="1:8" x14ac:dyDescent="0.2">
      <c r="A45" s="15">
        <v>46136</v>
      </c>
      <c r="B45" t="s">
        <v>134</v>
      </c>
      <c r="C45" s="16">
        <v>33.700000000000003</v>
      </c>
      <c r="D45" s="16">
        <v>16.850000000000001</v>
      </c>
      <c r="E45" t="s">
        <v>19</v>
      </c>
      <c r="F45" t="s">
        <v>19</v>
      </c>
      <c r="G45" t="s">
        <v>32</v>
      </c>
    </row>
    <row r="46" spans="1:8" x14ac:dyDescent="0.2">
      <c r="A46" s="15">
        <v>46137</v>
      </c>
      <c r="B46" t="s">
        <v>130</v>
      </c>
      <c r="C46" s="16">
        <v>120.25</v>
      </c>
      <c r="D46" s="16">
        <v>60.12</v>
      </c>
      <c r="E46" t="s">
        <v>19</v>
      </c>
      <c r="F46" t="s">
        <v>19</v>
      </c>
      <c r="G46" t="s">
        <v>20</v>
      </c>
    </row>
    <row r="47" spans="1:8" x14ac:dyDescent="0.2">
      <c r="A47" s="15">
        <v>46137</v>
      </c>
      <c r="B47" t="s">
        <v>136</v>
      </c>
      <c r="C47" s="16">
        <v>240.69</v>
      </c>
      <c r="D47" s="16">
        <v>120.34</v>
      </c>
      <c r="E47" t="s">
        <v>19</v>
      </c>
      <c r="F47" t="s">
        <v>19</v>
      </c>
      <c r="G47" t="s">
        <v>32</v>
      </c>
    </row>
    <row r="48" spans="1:8" x14ac:dyDescent="0.2">
      <c r="A48" s="15">
        <v>46137</v>
      </c>
      <c r="B48" t="s">
        <v>137</v>
      </c>
      <c r="C48" s="16">
        <v>177.28</v>
      </c>
      <c r="D48" s="16">
        <v>88.64</v>
      </c>
      <c r="E48" t="s">
        <v>19</v>
      </c>
      <c r="F48" t="s">
        <v>19</v>
      </c>
      <c r="G48" t="s">
        <v>25</v>
      </c>
    </row>
    <row r="49" spans="1:7" x14ac:dyDescent="0.2">
      <c r="A49" s="15">
        <v>46138</v>
      </c>
      <c r="B49" t="s">
        <v>130</v>
      </c>
      <c r="C49" s="16">
        <v>127.6</v>
      </c>
      <c r="D49" s="16">
        <v>63.8</v>
      </c>
      <c r="E49" t="s">
        <v>19</v>
      </c>
      <c r="F49" t="s">
        <v>19</v>
      </c>
      <c r="G49" t="s">
        <v>20</v>
      </c>
    </row>
    <row r="50" spans="1:7" x14ac:dyDescent="0.2">
      <c r="A50" s="15">
        <v>46138</v>
      </c>
      <c r="B50" t="s">
        <v>138</v>
      </c>
      <c r="C50" s="16">
        <v>180.31</v>
      </c>
      <c r="D50" s="16">
        <v>90.16</v>
      </c>
      <c r="E50" t="s">
        <v>19</v>
      </c>
      <c r="F50" t="s">
        <v>19</v>
      </c>
      <c r="G50" t="s">
        <v>32</v>
      </c>
    </row>
    <row r="51" spans="1:7" x14ac:dyDescent="0.2">
      <c r="A51" s="15">
        <v>46138</v>
      </c>
      <c r="B51" t="s">
        <v>139</v>
      </c>
      <c r="C51" s="16">
        <v>281.5</v>
      </c>
      <c r="D51" s="16">
        <v>140.75</v>
      </c>
      <c r="E51" t="s">
        <v>19</v>
      </c>
      <c r="F51" t="s">
        <v>19</v>
      </c>
      <c r="G51" t="s">
        <v>25</v>
      </c>
    </row>
    <row r="52" spans="1:7" x14ac:dyDescent="0.2">
      <c r="A52" s="15">
        <v>46138</v>
      </c>
      <c r="B52" t="s">
        <v>140</v>
      </c>
      <c r="C52" s="16">
        <v>26</v>
      </c>
      <c r="D52" s="16">
        <v>13</v>
      </c>
      <c r="E52" t="s">
        <v>19</v>
      </c>
      <c r="F52" t="s">
        <v>19</v>
      </c>
      <c r="G52" t="s">
        <v>25</v>
      </c>
    </row>
    <row r="53" spans="1:7" x14ac:dyDescent="0.2">
      <c r="A53" s="15">
        <v>46138</v>
      </c>
      <c r="B53" t="s">
        <v>141</v>
      </c>
      <c r="C53" s="16">
        <v>63.99</v>
      </c>
      <c r="D53" s="16">
        <v>32</v>
      </c>
      <c r="E53" t="s">
        <v>19</v>
      </c>
      <c r="F53" t="s">
        <v>19</v>
      </c>
      <c r="G53" t="s">
        <v>25</v>
      </c>
    </row>
    <row r="54" spans="1:7" x14ac:dyDescent="0.2">
      <c r="A54" s="15">
        <v>46139</v>
      </c>
      <c r="B54" t="s">
        <v>142</v>
      </c>
      <c r="C54" s="16">
        <v>66.37</v>
      </c>
      <c r="D54" s="16">
        <v>33.19</v>
      </c>
      <c r="E54" t="s">
        <v>19</v>
      </c>
      <c r="F54" t="s">
        <v>19</v>
      </c>
      <c r="G54" t="s">
        <v>20</v>
      </c>
    </row>
    <row r="55" spans="1:7" x14ac:dyDescent="0.2">
      <c r="A55" s="15">
        <v>46139</v>
      </c>
      <c r="B55" t="s">
        <v>143</v>
      </c>
      <c r="C55" s="16">
        <v>1</v>
      </c>
      <c r="D55" s="16">
        <v>0.5</v>
      </c>
      <c r="E55" t="s">
        <v>19</v>
      </c>
      <c r="F55" t="s">
        <v>19</v>
      </c>
      <c r="G55" t="s">
        <v>25</v>
      </c>
    </row>
    <row r="56" spans="1:7" x14ac:dyDescent="0.2">
      <c r="A56" s="15">
        <v>46139</v>
      </c>
      <c r="B56" t="s">
        <v>144</v>
      </c>
      <c r="C56" s="16">
        <v>61.1</v>
      </c>
      <c r="D56" s="16">
        <v>30.55</v>
      </c>
      <c r="E56" t="s">
        <v>19</v>
      </c>
      <c r="F56" t="s">
        <v>19</v>
      </c>
      <c r="G56" t="s">
        <v>20</v>
      </c>
    </row>
    <row r="57" spans="1:7" x14ac:dyDescent="0.2">
      <c r="A57" s="15">
        <v>46140</v>
      </c>
      <c r="B57" t="s">
        <v>134</v>
      </c>
      <c r="C57" s="16">
        <v>42</v>
      </c>
      <c r="D57" s="16">
        <v>21</v>
      </c>
      <c r="E57" t="s">
        <v>19</v>
      </c>
      <c r="F57" t="s">
        <v>19</v>
      </c>
      <c r="G57" t="s">
        <v>32</v>
      </c>
    </row>
    <row r="58" spans="1:7" x14ac:dyDescent="0.2">
      <c r="A58" s="15">
        <v>46140</v>
      </c>
      <c r="B58" t="s">
        <v>134</v>
      </c>
      <c r="C58" s="16">
        <v>48.3</v>
      </c>
      <c r="D58" s="16">
        <v>24.15</v>
      </c>
      <c r="E58" t="s">
        <v>19</v>
      </c>
      <c r="F58" t="s">
        <v>19</v>
      </c>
      <c r="G58" t="s">
        <v>32</v>
      </c>
    </row>
    <row r="59" spans="1:7" x14ac:dyDescent="0.2">
      <c r="A59" s="15">
        <v>46140</v>
      </c>
      <c r="B59" t="s">
        <v>142</v>
      </c>
      <c r="C59" s="16">
        <v>71</v>
      </c>
      <c r="D59" s="16">
        <v>35.5</v>
      </c>
      <c r="E59" t="s">
        <v>19</v>
      </c>
      <c r="F59" t="s">
        <v>19</v>
      </c>
      <c r="G59" t="s">
        <v>20</v>
      </c>
    </row>
    <row r="60" spans="1:7" x14ac:dyDescent="0.2">
      <c r="A60" s="15">
        <v>46141</v>
      </c>
      <c r="B60" t="s">
        <v>142</v>
      </c>
      <c r="C60" s="16">
        <v>60.86</v>
      </c>
      <c r="D60" s="16">
        <v>30.43</v>
      </c>
      <c r="E60" t="s">
        <v>19</v>
      </c>
      <c r="F60" t="s">
        <v>19</v>
      </c>
      <c r="G60" t="s">
        <v>20</v>
      </c>
    </row>
    <row r="61" spans="1:7" x14ac:dyDescent="0.2">
      <c r="A61" s="15">
        <v>46141</v>
      </c>
      <c r="B61" t="s">
        <v>145</v>
      </c>
      <c r="C61" s="16">
        <v>63.88</v>
      </c>
      <c r="D61" s="16">
        <v>31.94</v>
      </c>
      <c r="E61" t="s">
        <v>19</v>
      </c>
      <c r="F61" t="s">
        <v>19</v>
      </c>
      <c r="G61" t="s">
        <v>32</v>
      </c>
    </row>
    <row r="62" spans="1:7" x14ac:dyDescent="0.2">
      <c r="A62" s="15">
        <v>46142</v>
      </c>
      <c r="B62" t="s">
        <v>146</v>
      </c>
      <c r="C62" s="16">
        <v>43.14</v>
      </c>
      <c r="D62" s="16">
        <v>21.57</v>
      </c>
      <c r="E62" t="s">
        <v>19</v>
      </c>
      <c r="F62" t="s">
        <v>19</v>
      </c>
      <c r="G62" t="s">
        <v>25</v>
      </c>
    </row>
    <row r="63" spans="1:7" x14ac:dyDescent="0.2">
      <c r="A63" s="15">
        <v>46142</v>
      </c>
      <c r="B63" t="s">
        <v>147</v>
      </c>
      <c r="C63" s="16">
        <v>120</v>
      </c>
      <c r="D63" s="16">
        <v>60</v>
      </c>
      <c r="E63" t="s">
        <v>19</v>
      </c>
      <c r="F63" t="s">
        <v>19</v>
      </c>
      <c r="G63" t="s">
        <v>25</v>
      </c>
    </row>
    <row r="64" spans="1:7" x14ac:dyDescent="0.2">
      <c r="A64" s="15">
        <v>46142</v>
      </c>
      <c r="B64" t="s">
        <v>148</v>
      </c>
      <c r="C64" s="16">
        <v>109</v>
      </c>
      <c r="D64" s="16">
        <v>54.5</v>
      </c>
      <c r="E64" t="s">
        <v>19</v>
      </c>
      <c r="F64" t="s">
        <v>19</v>
      </c>
      <c r="G64" t="s">
        <v>32</v>
      </c>
    </row>
    <row r="65" spans="1:7" x14ac:dyDescent="0.2">
      <c r="A65" s="15">
        <v>46142</v>
      </c>
      <c r="B65" t="s">
        <v>130</v>
      </c>
      <c r="C65" s="16">
        <v>58.87</v>
      </c>
      <c r="D65" s="16">
        <v>29.43</v>
      </c>
      <c r="E65" t="s">
        <v>19</v>
      </c>
      <c r="F65" t="s">
        <v>19</v>
      </c>
      <c r="G65" t="s">
        <v>20</v>
      </c>
    </row>
    <row r="66" spans="1:7" x14ac:dyDescent="0.2">
      <c r="A66" s="15">
        <v>46142</v>
      </c>
      <c r="B66" t="s">
        <v>149</v>
      </c>
      <c r="C66" s="16">
        <v>110</v>
      </c>
      <c r="D66" s="16">
        <v>55</v>
      </c>
      <c r="E66" t="s">
        <v>19</v>
      </c>
      <c r="F66" t="s">
        <v>19</v>
      </c>
      <c r="G66" t="s">
        <v>25</v>
      </c>
    </row>
  </sheetData>
  <mergeCells count="3">
    <mergeCell ref="J1:L1"/>
    <mergeCell ref="J7:L7"/>
    <mergeCell ref="J13:L13"/>
  </mergeCells>
  <conditionalFormatting sqref="E3:F3 E4:E17 F5 F7 F9 F11 F13 F15 F17 E18:F201">
    <cfRule type="expression" dxfId="13" priority="6">
      <formula>E3="Yes"</formula>
    </cfRule>
    <cfRule type="expression" dxfId="12" priority="7">
      <formula>E3="No"</formula>
    </cfRule>
  </conditionalFormatting>
  <conditionalFormatting sqref="G2:G201">
    <cfRule type="expression" dxfId="11" priority="10">
      <formula>G2="Groceries"</formula>
    </cfRule>
    <cfRule type="expression" dxfId="10" priority="11">
      <formula>G2="Dine Out/Takeaways"</formula>
    </cfRule>
    <cfRule type="expression" dxfId="9" priority="12">
      <formula>G2="Entertainment"</formula>
    </cfRule>
  </conditionalFormatting>
  <conditionalFormatting sqref="E2">
    <cfRule type="expression" dxfId="8" priority="3">
      <formula>E2="Yes"</formula>
    </cfRule>
    <cfRule type="expression" dxfId="7" priority="4">
      <formula>E2="No"</formula>
    </cfRule>
  </conditionalFormatting>
  <conditionalFormatting sqref="F2 F4 F6 F8 F10 F12 F14 F16">
    <cfRule type="expression" dxfId="6" priority="1">
      <formula>F2="Yes"</formula>
    </cfRule>
    <cfRule type="expression" dxfId="5" priority="2">
      <formula>F2="No"</formula>
    </cfRule>
  </conditionalFormatting>
  <conditionalFormatting sqref="C2:C201">
    <cfRule type="dataBar" priority="7609">
      <dataBar>
        <cfvo type="min"/>
        <cfvo type="max"/>
        <color rgb="FF00B4D8"/>
      </dataBar>
    </cfRule>
  </conditionalFormatting>
  <dataValidations count="2">
    <dataValidation type="list" allowBlank="1" showErrorMessage="1" errorTitle="Invalid Value" error="Please select Yes or No." promptTitle="Paid Status" prompt="Has this been paid?" sqref="F2 E3:F201" xr:uid="{00000000-0002-0000-0300-000001000000}">
      <formula1>"Yes,No"</formula1>
    </dataValidation>
    <dataValidation type="list" allowBlank="1" showErrorMessage="1" errorTitle="Invalid Category" error="Use the dropdown to select a valid category." promptTitle="Category" prompt="Pick a category" sqref="G3:G201" xr:uid="{00000000-0002-0000-0300-000000000000}">
      <formula1>"Groceries,Dine Out/Takeaways,Entertainment"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MarkRowPaid">
                <anchor moveWithCells="1" sizeWithCells="1">
                  <from>
                    <xdr:col>8</xdr:col>
                    <xdr:colOff>635000</xdr:colOff>
                    <xdr:row>21</xdr:row>
                    <xdr:rowOff>12700</xdr:rowOff>
                  </from>
                  <to>
                    <xdr:col>11</xdr:col>
                    <xdr:colOff>787400</xdr:colOff>
                    <xdr:row>22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AddRow">
                <anchor moveWithCells="1" sizeWithCells="1">
                  <from>
                    <xdr:col>8</xdr:col>
                    <xdr:colOff>596900</xdr:colOff>
                    <xdr:row>25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DeleteRow">
                <anchor moveWithCells="1" sizeWithCells="1">
                  <from>
                    <xdr:col>8</xdr:col>
                    <xdr:colOff>622300</xdr:colOff>
                    <xdr:row>22</xdr:row>
                    <xdr:rowOff>177800</xdr:rowOff>
                  </from>
                  <to>
                    <xdr:col>11</xdr:col>
                    <xdr:colOff>787400</xdr:colOff>
                    <xdr:row>24</xdr:row>
                    <xdr:rowOff>63500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291CA-06FB-4F61-8666-CEACB3E10EB4}">
  <sheetPr codeName="Sheet7">
    <tabColor rgb="FF48CAE4"/>
  </sheetPr>
  <dimension ref="A1:K41"/>
  <sheetViews>
    <sheetView tabSelected="1" workbookViewId="0">
      <pane ySplit="1" topLeftCell="A2" activePane="bottomLeft" state="frozen"/>
      <selection pane="bottomLeft" activeCell="O10" sqref="O10"/>
    </sheetView>
  </sheetViews>
  <sheetFormatPr baseColWidth="10" defaultColWidth="8.83203125" defaultRowHeight="15" x14ac:dyDescent="0.2"/>
  <cols>
    <col min="1" max="1" width="12" customWidth="1"/>
    <col min="2" max="2" width="30" customWidth="1"/>
    <col min="3" max="3" width="15.5" bestFit="1" customWidth="1"/>
    <col min="4" max="4" width="15" bestFit="1" customWidth="1"/>
    <col min="5" max="6" width="11" customWidth="1"/>
    <col min="7" max="7" width="20" customWidth="1"/>
    <col min="8" max="8" width="9.5" customWidth="1"/>
    <col min="9" max="9" width="18.33203125" bestFit="1" customWidth="1"/>
    <col min="10" max="10" width="14" customWidth="1"/>
    <col min="11" max="11" width="12.1640625" bestFit="1" customWidth="1"/>
  </cols>
  <sheetData>
    <row r="1" spans="1:11" ht="26" customHeight="1" x14ac:dyDescent="0.2">
      <c r="A1" s="5" t="s">
        <v>10</v>
      </c>
      <c r="B1" s="5" t="s">
        <v>11</v>
      </c>
      <c r="C1" s="5" t="s">
        <v>12</v>
      </c>
      <c r="D1" s="5" t="s">
        <v>13</v>
      </c>
      <c r="E1" s="5" t="s">
        <v>14</v>
      </c>
      <c r="F1" s="5" t="s">
        <v>15</v>
      </c>
      <c r="G1" s="5" t="s">
        <v>16</v>
      </c>
      <c r="I1" s="90" t="s">
        <v>17</v>
      </c>
      <c r="J1" s="91"/>
      <c r="K1" s="92"/>
    </row>
    <row r="2" spans="1:11" ht="17" customHeight="1" x14ac:dyDescent="0.2">
      <c r="A2" s="15">
        <v>46143</v>
      </c>
      <c r="B2" t="s">
        <v>130</v>
      </c>
      <c r="C2" s="16">
        <v>54.77</v>
      </c>
      <c r="D2" s="16">
        <v>27.39</v>
      </c>
      <c r="E2" t="s">
        <v>19</v>
      </c>
      <c r="F2" t="s">
        <v>24</v>
      </c>
      <c r="G2" t="s">
        <v>20</v>
      </c>
      <c r="I2" s="1"/>
      <c r="J2" s="1" t="s">
        <v>21</v>
      </c>
      <c r="K2" s="1" t="s">
        <v>22</v>
      </c>
    </row>
    <row r="3" spans="1:11" ht="17" customHeight="1" x14ac:dyDescent="0.2">
      <c r="A3" s="15">
        <v>46143</v>
      </c>
      <c r="B3" t="s">
        <v>150</v>
      </c>
      <c r="C3" s="22">
        <v>89.25</v>
      </c>
      <c r="D3" s="16">
        <v>44.62</v>
      </c>
      <c r="E3" t="s">
        <v>19</v>
      </c>
      <c r="F3" t="s">
        <v>24</v>
      </c>
      <c r="G3" t="s">
        <v>20</v>
      </c>
      <c r="I3" s="2" t="s">
        <v>8</v>
      </c>
      <c r="J3" s="14">
        <f>SUM(C2:C40)/2</f>
        <v>1799.1149999999993</v>
      </c>
      <c r="K3" s="14">
        <f>SUMIF(E2:E40,"No",D2:D40)</f>
        <v>0</v>
      </c>
    </row>
    <row r="4" spans="1:11" ht="17" customHeight="1" x14ac:dyDescent="0.2">
      <c r="A4" s="15">
        <v>46143</v>
      </c>
      <c r="B4" t="s">
        <v>131</v>
      </c>
      <c r="C4" s="22">
        <v>207.55</v>
      </c>
      <c r="D4" s="16">
        <v>103.78</v>
      </c>
      <c r="E4" t="s">
        <v>19</v>
      </c>
      <c r="F4" t="s">
        <v>24</v>
      </c>
      <c r="G4" t="s">
        <v>20</v>
      </c>
      <c r="I4" s="2" t="s">
        <v>7</v>
      </c>
      <c r="J4" s="14">
        <f>SUM(C2:C40)/2</f>
        <v>1799.1149999999993</v>
      </c>
      <c r="K4" s="14">
        <f>SUMIF(F2:F40,"No",D2:D40)</f>
        <v>1799.1200000000001</v>
      </c>
    </row>
    <row r="5" spans="1:11" ht="17" customHeight="1" x14ac:dyDescent="0.2">
      <c r="A5" s="15">
        <v>46143</v>
      </c>
      <c r="B5" t="s">
        <v>134</v>
      </c>
      <c r="C5" s="22">
        <v>86.1</v>
      </c>
      <c r="D5" s="16">
        <v>43.05</v>
      </c>
      <c r="E5" t="s">
        <v>19</v>
      </c>
      <c r="F5" t="s">
        <v>24</v>
      </c>
      <c r="G5" t="s">
        <v>32</v>
      </c>
      <c r="I5" s="2" t="s">
        <v>3</v>
      </c>
      <c r="J5" s="14">
        <f>SUM(C2:C40)</f>
        <v>3598.2299999999987</v>
      </c>
      <c r="K5" s="14"/>
    </row>
    <row r="6" spans="1:11" x14ac:dyDescent="0.2">
      <c r="A6" s="15">
        <v>46144</v>
      </c>
      <c r="B6" t="s">
        <v>151</v>
      </c>
      <c r="C6" s="22">
        <v>50</v>
      </c>
      <c r="D6" s="16">
        <v>25</v>
      </c>
      <c r="E6" t="s">
        <v>19</v>
      </c>
      <c r="F6" t="s">
        <v>24</v>
      </c>
      <c r="G6" t="s">
        <v>25</v>
      </c>
    </row>
    <row r="7" spans="1:11" ht="22" customHeight="1" x14ac:dyDescent="0.2">
      <c r="A7" s="15">
        <v>46144</v>
      </c>
      <c r="B7" t="s">
        <v>152</v>
      </c>
      <c r="C7" s="22">
        <v>480</v>
      </c>
      <c r="D7" s="16">
        <v>240</v>
      </c>
      <c r="E7" t="s">
        <v>19</v>
      </c>
      <c r="F7" t="s">
        <v>24</v>
      </c>
      <c r="G7" t="s">
        <v>32</v>
      </c>
      <c r="I7" s="90" t="s">
        <v>30</v>
      </c>
      <c r="J7" s="91"/>
      <c r="K7" s="92"/>
    </row>
    <row r="8" spans="1:11" ht="17" customHeight="1" x14ac:dyDescent="0.2">
      <c r="A8" s="15">
        <v>46144</v>
      </c>
      <c r="B8" t="s">
        <v>153</v>
      </c>
      <c r="C8" s="22">
        <v>139.5</v>
      </c>
      <c r="D8" s="16">
        <v>69.75</v>
      </c>
      <c r="E8" t="s">
        <v>19</v>
      </c>
      <c r="F8" t="s">
        <v>24</v>
      </c>
      <c r="G8" t="s">
        <v>25</v>
      </c>
      <c r="I8" s="1" t="s">
        <v>16</v>
      </c>
      <c r="J8" s="1" t="s">
        <v>12</v>
      </c>
      <c r="K8" s="1" t="s">
        <v>33</v>
      </c>
    </row>
    <row r="9" spans="1:11" ht="17" customHeight="1" x14ac:dyDescent="0.2">
      <c r="A9" s="15">
        <v>46144</v>
      </c>
      <c r="B9" t="s">
        <v>150</v>
      </c>
      <c r="C9" s="22">
        <v>59.34</v>
      </c>
      <c r="D9" s="16">
        <v>29.67</v>
      </c>
      <c r="E9" t="s">
        <v>19</v>
      </c>
      <c r="F9" t="s">
        <v>24</v>
      </c>
      <c r="G9" t="s">
        <v>20</v>
      </c>
      <c r="I9" s="7" t="s">
        <v>4</v>
      </c>
      <c r="J9" s="14">
        <f>SUMIF(G2:G40,"Groceries",C2:C40)</f>
        <v>1217.0800000000002</v>
      </c>
      <c r="K9" s="8">
        <f>IFERROR(J9/J5,"—")</f>
        <v>0.3382440811176608</v>
      </c>
    </row>
    <row r="10" spans="1:11" ht="17" customHeight="1" x14ac:dyDescent="0.2">
      <c r="A10" s="15">
        <v>46145</v>
      </c>
      <c r="B10" t="s">
        <v>153</v>
      </c>
      <c r="C10" s="22">
        <v>126</v>
      </c>
      <c r="D10" s="16">
        <v>63</v>
      </c>
      <c r="E10" t="s">
        <v>19</v>
      </c>
      <c r="F10" t="s">
        <v>24</v>
      </c>
      <c r="G10" t="s">
        <v>25</v>
      </c>
      <c r="I10" s="9" t="s">
        <v>5</v>
      </c>
      <c r="J10" s="14">
        <f>SUMIF(G2:G40,"Dine Out/Takeaways",C2:C40)</f>
        <v>1315.33</v>
      </c>
      <c r="K10" s="8">
        <f>IFERROR(J10/J5,"—")</f>
        <v>0.36554917278773186</v>
      </c>
    </row>
    <row r="11" spans="1:11" ht="17" customHeight="1" x14ac:dyDescent="0.2">
      <c r="A11" s="15">
        <v>46145</v>
      </c>
      <c r="B11" t="s">
        <v>142</v>
      </c>
      <c r="C11" s="22">
        <v>53.81</v>
      </c>
      <c r="D11" s="16">
        <v>26.91</v>
      </c>
      <c r="E11" t="s">
        <v>19</v>
      </c>
      <c r="F11" t="s">
        <v>24</v>
      </c>
      <c r="G11" t="s">
        <v>20</v>
      </c>
      <c r="I11" s="10" t="s">
        <v>6</v>
      </c>
      <c r="J11" s="14">
        <f>SUMIF(G2:G40,"Entertainment",C2:C40)</f>
        <v>1065.8200000000002</v>
      </c>
      <c r="K11" s="8">
        <f>IFERROR(J11/J5,"—")</f>
        <v>0.29620674609460779</v>
      </c>
    </row>
    <row r="12" spans="1:11" x14ac:dyDescent="0.2">
      <c r="A12" s="15">
        <v>46145</v>
      </c>
      <c r="B12" t="s">
        <v>134</v>
      </c>
      <c r="C12" s="22">
        <v>85.05</v>
      </c>
      <c r="D12" s="16">
        <v>42.52</v>
      </c>
      <c r="E12" t="s">
        <v>19</v>
      </c>
      <c r="F12" t="s">
        <v>24</v>
      </c>
      <c r="G12" t="s">
        <v>32</v>
      </c>
    </row>
    <row r="13" spans="1:11" ht="22" customHeight="1" x14ac:dyDescent="0.2">
      <c r="A13" s="15">
        <v>46145</v>
      </c>
      <c r="B13" t="s">
        <v>154</v>
      </c>
      <c r="C13" s="22">
        <v>63</v>
      </c>
      <c r="D13" s="16">
        <v>31.5</v>
      </c>
      <c r="E13" t="s">
        <v>19</v>
      </c>
      <c r="F13" t="s">
        <v>24</v>
      </c>
      <c r="G13" t="s">
        <v>32</v>
      </c>
      <c r="I13" s="90" t="s">
        <v>37</v>
      </c>
      <c r="J13" s="91"/>
      <c r="K13" s="92"/>
    </row>
    <row r="14" spans="1:11" ht="17" customHeight="1" x14ac:dyDescent="0.2">
      <c r="A14" s="15">
        <v>46146</v>
      </c>
      <c r="B14" t="s">
        <v>142</v>
      </c>
      <c r="C14" s="22">
        <v>43.73</v>
      </c>
      <c r="D14" s="16">
        <v>21.86</v>
      </c>
      <c r="E14" t="s">
        <v>19</v>
      </c>
      <c r="F14" t="s">
        <v>24</v>
      </c>
      <c r="G14" t="s">
        <v>20</v>
      </c>
      <c r="I14" s="1" t="s">
        <v>39</v>
      </c>
      <c r="J14" s="1" t="s">
        <v>40</v>
      </c>
      <c r="K14" s="1"/>
    </row>
    <row r="15" spans="1:11" ht="17" customHeight="1" x14ac:dyDescent="0.2">
      <c r="A15" s="15">
        <v>46147</v>
      </c>
      <c r="B15" t="s">
        <v>155</v>
      </c>
      <c r="C15" s="22">
        <v>248</v>
      </c>
      <c r="D15" s="16">
        <v>124</v>
      </c>
      <c r="E15" t="s">
        <v>19</v>
      </c>
      <c r="F15" t="s">
        <v>24</v>
      </c>
      <c r="G15" t="s">
        <v>25</v>
      </c>
      <c r="I15" s="2" t="s">
        <v>42</v>
      </c>
      <c r="J15" s="23">
        <f>COUNTA(B2:B40)</f>
        <v>39</v>
      </c>
    </row>
    <row r="16" spans="1:11" ht="17" customHeight="1" x14ac:dyDescent="0.2">
      <c r="A16" s="15">
        <v>46147</v>
      </c>
      <c r="B16" t="s">
        <v>130</v>
      </c>
      <c r="C16" s="22">
        <v>84.05</v>
      </c>
      <c r="D16" s="16">
        <v>42.02</v>
      </c>
      <c r="E16" t="s">
        <v>19</v>
      </c>
      <c r="F16" t="s">
        <v>24</v>
      </c>
      <c r="G16" t="s">
        <v>20</v>
      </c>
      <c r="I16" s="2" t="s">
        <v>43</v>
      </c>
      <c r="J16" s="14">
        <f>IFERROR(AVERAGE(C2:C40),0)</f>
        <v>92.262307692307658</v>
      </c>
    </row>
    <row r="17" spans="1:10" ht="17" customHeight="1" x14ac:dyDescent="0.2">
      <c r="A17" s="15">
        <v>46148</v>
      </c>
      <c r="B17" t="s">
        <v>134</v>
      </c>
      <c r="C17" s="22">
        <v>33.6</v>
      </c>
      <c r="D17" s="16">
        <v>16.8</v>
      </c>
      <c r="E17" t="s">
        <v>19</v>
      </c>
      <c r="F17" t="s">
        <v>24</v>
      </c>
      <c r="G17" t="s">
        <v>32</v>
      </c>
      <c r="I17" s="2" t="s">
        <v>45</v>
      </c>
      <c r="J17" s="14">
        <f>IFERROR(MAX(C2:C40),0)</f>
        <v>480</v>
      </c>
    </row>
    <row r="18" spans="1:10" ht="17" customHeight="1" x14ac:dyDescent="0.2">
      <c r="A18" s="15">
        <v>46148</v>
      </c>
      <c r="B18" t="s">
        <v>145</v>
      </c>
      <c r="C18" s="22">
        <v>35.74</v>
      </c>
      <c r="D18" s="16">
        <v>17.87</v>
      </c>
      <c r="E18" t="s">
        <v>19</v>
      </c>
      <c r="F18" t="s">
        <v>24</v>
      </c>
      <c r="G18" t="s">
        <v>32</v>
      </c>
      <c r="I18" s="2" t="s">
        <v>48</v>
      </c>
      <c r="J18" s="23">
        <f>COUNTIF(G2:G40,"Dine Out/Takeaways")</f>
        <v>13</v>
      </c>
    </row>
    <row r="19" spans="1:10" ht="17" customHeight="1" x14ac:dyDescent="0.2">
      <c r="A19" s="15">
        <v>46148</v>
      </c>
      <c r="B19" t="s">
        <v>142</v>
      </c>
      <c r="C19" s="22">
        <v>62.22</v>
      </c>
      <c r="D19" s="16">
        <v>31.11</v>
      </c>
      <c r="E19" t="s">
        <v>19</v>
      </c>
      <c r="F19" t="s">
        <v>24</v>
      </c>
      <c r="G19" t="s">
        <v>20</v>
      </c>
      <c r="I19" s="2" t="s">
        <v>50</v>
      </c>
      <c r="J19" s="23">
        <f>COUNTIF(G2:G40,"Entertainment")</f>
        <v>8</v>
      </c>
    </row>
    <row r="20" spans="1:10" x14ac:dyDescent="0.2">
      <c r="A20" s="15">
        <v>46148</v>
      </c>
      <c r="B20" t="s">
        <v>156</v>
      </c>
      <c r="C20" s="22">
        <v>29.47</v>
      </c>
      <c r="D20" s="16">
        <v>14.73</v>
      </c>
      <c r="E20" t="s">
        <v>19</v>
      </c>
      <c r="F20" t="s">
        <v>24</v>
      </c>
      <c r="G20" t="s">
        <v>20</v>
      </c>
    </row>
    <row r="21" spans="1:10" x14ac:dyDescent="0.2">
      <c r="A21" s="15">
        <v>46149</v>
      </c>
      <c r="B21" t="s">
        <v>142</v>
      </c>
      <c r="C21" s="22">
        <v>11.1</v>
      </c>
      <c r="D21" s="16">
        <v>5.55</v>
      </c>
      <c r="E21" t="s">
        <v>19</v>
      </c>
      <c r="F21" t="s">
        <v>24</v>
      </c>
      <c r="G21" t="s">
        <v>20</v>
      </c>
    </row>
    <row r="22" spans="1:10" x14ac:dyDescent="0.2">
      <c r="A22" s="15">
        <v>46149</v>
      </c>
      <c r="B22" t="s">
        <v>157</v>
      </c>
      <c r="C22" s="22">
        <v>216.8</v>
      </c>
      <c r="D22" s="16">
        <v>108.4</v>
      </c>
      <c r="E22" t="s">
        <v>19</v>
      </c>
      <c r="F22" t="s">
        <v>24</v>
      </c>
      <c r="G22" t="s">
        <v>32</v>
      </c>
    </row>
    <row r="23" spans="1:10" x14ac:dyDescent="0.2">
      <c r="A23" s="15">
        <v>46150</v>
      </c>
      <c r="B23" t="s">
        <v>145</v>
      </c>
      <c r="C23" s="22">
        <v>102.9</v>
      </c>
      <c r="D23" s="16">
        <v>51.45</v>
      </c>
      <c r="E23" t="s">
        <v>19</v>
      </c>
      <c r="F23" t="s">
        <v>24</v>
      </c>
      <c r="G23" t="s">
        <v>32</v>
      </c>
    </row>
    <row r="24" spans="1:10" x14ac:dyDescent="0.2">
      <c r="A24" s="15">
        <v>46150</v>
      </c>
      <c r="B24" t="s">
        <v>134</v>
      </c>
      <c r="C24" s="22">
        <v>42</v>
      </c>
      <c r="D24" s="16">
        <v>21</v>
      </c>
      <c r="E24" t="s">
        <v>19</v>
      </c>
      <c r="F24" t="s">
        <v>24</v>
      </c>
      <c r="G24" t="s">
        <v>32</v>
      </c>
    </row>
    <row r="25" spans="1:10" x14ac:dyDescent="0.2">
      <c r="A25" s="15">
        <v>46150</v>
      </c>
      <c r="B25" t="s">
        <v>130</v>
      </c>
      <c r="C25" s="22">
        <v>45.93</v>
      </c>
      <c r="D25" s="16">
        <v>22.96</v>
      </c>
      <c r="E25" t="s">
        <v>19</v>
      </c>
      <c r="F25" t="s">
        <v>24</v>
      </c>
      <c r="G25" t="s">
        <v>20</v>
      </c>
    </row>
    <row r="26" spans="1:10" x14ac:dyDescent="0.2">
      <c r="A26" s="15">
        <v>46151</v>
      </c>
      <c r="B26" t="s">
        <v>134</v>
      </c>
      <c r="C26" s="22">
        <v>41.2</v>
      </c>
      <c r="D26" s="16">
        <v>20.6</v>
      </c>
      <c r="E26" t="s">
        <v>19</v>
      </c>
      <c r="F26" t="s">
        <v>24</v>
      </c>
      <c r="G26" t="s">
        <v>32</v>
      </c>
    </row>
    <row r="27" spans="1:10" x14ac:dyDescent="0.2">
      <c r="A27" s="15">
        <v>46151</v>
      </c>
      <c r="B27" t="s">
        <v>158</v>
      </c>
      <c r="C27" s="22">
        <v>250.95</v>
      </c>
      <c r="D27" s="16">
        <v>125.47</v>
      </c>
      <c r="E27" t="s">
        <v>19</v>
      </c>
      <c r="F27" t="s">
        <v>24</v>
      </c>
      <c r="G27" t="s">
        <v>25</v>
      </c>
    </row>
    <row r="28" spans="1:10" x14ac:dyDescent="0.2">
      <c r="A28" s="15">
        <v>46151</v>
      </c>
      <c r="B28" t="s">
        <v>159</v>
      </c>
      <c r="C28" s="22">
        <v>30.24</v>
      </c>
      <c r="D28" s="16">
        <v>15.12</v>
      </c>
      <c r="E28" t="s">
        <v>19</v>
      </c>
      <c r="F28" t="s">
        <v>24</v>
      </c>
      <c r="G28" t="s">
        <v>32</v>
      </c>
    </row>
    <row r="29" spans="1:10" x14ac:dyDescent="0.2">
      <c r="A29" s="15">
        <v>46151</v>
      </c>
      <c r="B29" t="s">
        <v>130</v>
      </c>
      <c r="C29" s="22">
        <v>32.1</v>
      </c>
      <c r="D29" s="16">
        <v>16.05</v>
      </c>
      <c r="E29" t="s">
        <v>19</v>
      </c>
      <c r="F29" t="s">
        <v>24</v>
      </c>
      <c r="G29" t="s">
        <v>20</v>
      </c>
    </row>
    <row r="30" spans="1:10" x14ac:dyDescent="0.2">
      <c r="A30" s="15">
        <v>46152</v>
      </c>
      <c r="B30" t="s">
        <v>134</v>
      </c>
      <c r="C30" s="22">
        <v>49.35</v>
      </c>
      <c r="D30" s="16">
        <v>24.68</v>
      </c>
      <c r="E30" t="s">
        <v>19</v>
      </c>
      <c r="F30" t="s">
        <v>24</v>
      </c>
      <c r="G30" t="s">
        <v>32</v>
      </c>
    </row>
    <row r="31" spans="1:10" x14ac:dyDescent="0.2">
      <c r="A31" s="15">
        <v>46152</v>
      </c>
      <c r="B31" t="s">
        <v>160</v>
      </c>
      <c r="C31" s="22">
        <v>187.43</v>
      </c>
      <c r="D31" s="16">
        <v>93.72</v>
      </c>
      <c r="E31" t="s">
        <v>19</v>
      </c>
      <c r="F31" t="s">
        <v>24</v>
      </c>
      <c r="G31" t="s">
        <v>25</v>
      </c>
    </row>
    <row r="32" spans="1:10" x14ac:dyDescent="0.2">
      <c r="A32" s="15">
        <v>46152</v>
      </c>
      <c r="B32" t="s">
        <v>160</v>
      </c>
      <c r="C32" s="22">
        <v>23.95</v>
      </c>
      <c r="D32" s="16">
        <v>11.97</v>
      </c>
      <c r="E32" t="s">
        <v>19</v>
      </c>
      <c r="F32" t="s">
        <v>24</v>
      </c>
      <c r="G32" t="s">
        <v>25</v>
      </c>
    </row>
    <row r="33" spans="1:7" x14ac:dyDescent="0.2">
      <c r="A33" s="15">
        <v>46152</v>
      </c>
      <c r="B33" t="s">
        <v>134</v>
      </c>
      <c r="C33" s="22">
        <v>49.35</v>
      </c>
      <c r="D33" s="16">
        <v>24.68</v>
      </c>
      <c r="E33" t="s">
        <v>19</v>
      </c>
      <c r="F33" t="s">
        <v>24</v>
      </c>
      <c r="G33" t="s">
        <v>32</v>
      </c>
    </row>
    <row r="34" spans="1:7" x14ac:dyDescent="0.2">
      <c r="A34" s="15">
        <v>46152</v>
      </c>
      <c r="B34" t="s">
        <v>141</v>
      </c>
      <c r="C34" s="22">
        <v>39.99</v>
      </c>
      <c r="D34" s="16">
        <v>20</v>
      </c>
      <c r="E34" t="s">
        <v>19</v>
      </c>
      <c r="F34" t="s">
        <v>24</v>
      </c>
      <c r="G34" t="s">
        <v>25</v>
      </c>
    </row>
    <row r="35" spans="1:7" x14ac:dyDescent="0.2">
      <c r="A35" s="15">
        <v>46153</v>
      </c>
      <c r="B35" t="s">
        <v>130</v>
      </c>
      <c r="C35" s="22">
        <v>94.87</v>
      </c>
      <c r="D35" s="16">
        <v>47.44</v>
      </c>
      <c r="E35" t="s">
        <v>19</v>
      </c>
      <c r="F35" t="s">
        <v>24</v>
      </c>
      <c r="G35" t="s">
        <v>20</v>
      </c>
    </row>
    <row r="36" spans="1:7" x14ac:dyDescent="0.2">
      <c r="A36" s="15">
        <v>46154</v>
      </c>
      <c r="B36" t="s">
        <v>130</v>
      </c>
      <c r="C36" s="22">
        <v>52.36</v>
      </c>
      <c r="D36" s="16">
        <v>26.18</v>
      </c>
      <c r="E36" t="s">
        <v>19</v>
      </c>
      <c r="F36" t="s">
        <v>24</v>
      </c>
      <c r="G36" t="s">
        <v>20</v>
      </c>
    </row>
    <row r="37" spans="1:7" x14ac:dyDescent="0.2">
      <c r="A37" s="15">
        <v>46155</v>
      </c>
      <c r="B37" t="s">
        <v>131</v>
      </c>
      <c r="C37" s="22">
        <v>121.5</v>
      </c>
      <c r="D37" s="16">
        <v>60.75</v>
      </c>
      <c r="E37" t="s">
        <v>19</v>
      </c>
      <c r="F37" t="s">
        <v>24</v>
      </c>
      <c r="G37" t="s">
        <v>20</v>
      </c>
    </row>
    <row r="38" spans="1:7" x14ac:dyDescent="0.2">
      <c r="A38" s="15">
        <v>46156</v>
      </c>
      <c r="B38" t="s">
        <v>161</v>
      </c>
      <c r="C38" s="22">
        <v>67.319999999999993</v>
      </c>
      <c r="D38" s="16">
        <v>33.659999999999997</v>
      </c>
      <c r="E38" t="s">
        <v>19</v>
      </c>
      <c r="F38" t="s">
        <v>24</v>
      </c>
      <c r="G38" t="s">
        <v>20</v>
      </c>
    </row>
    <row r="39" spans="1:7" x14ac:dyDescent="0.2">
      <c r="A39" s="15">
        <v>46157</v>
      </c>
      <c r="B39" t="s">
        <v>130</v>
      </c>
      <c r="C39" s="22">
        <v>35.96</v>
      </c>
      <c r="D39" s="16">
        <v>17.98</v>
      </c>
      <c r="E39" t="s">
        <v>19</v>
      </c>
      <c r="F39" t="s">
        <v>24</v>
      </c>
      <c r="G39" t="s">
        <v>20</v>
      </c>
    </row>
    <row r="40" spans="1:7" x14ac:dyDescent="0.2">
      <c r="A40" s="15">
        <v>46158</v>
      </c>
      <c r="B40" t="s">
        <v>131</v>
      </c>
      <c r="C40" s="22">
        <v>71.75</v>
      </c>
      <c r="D40" s="16">
        <v>35.880000000000003</v>
      </c>
      <c r="E40" t="s">
        <v>19</v>
      </c>
      <c r="F40" t="s">
        <v>24</v>
      </c>
      <c r="G40" t="s">
        <v>20</v>
      </c>
    </row>
    <row r="41" spans="1:7" x14ac:dyDescent="0.2">
      <c r="A41" s="15"/>
      <c r="C41" s="22"/>
      <c r="D41" s="16"/>
    </row>
  </sheetData>
  <mergeCells count="3">
    <mergeCell ref="I1:K1"/>
    <mergeCell ref="I7:K7"/>
    <mergeCell ref="I13:K13"/>
  </mergeCells>
  <conditionalFormatting sqref="E42:F172 E2:F40">
    <cfRule type="expression" dxfId="4" priority="5">
      <formula>E2="Yes"</formula>
    </cfRule>
    <cfRule type="expression" dxfId="3" priority="6">
      <formula>E2="No"</formula>
    </cfRule>
  </conditionalFormatting>
  <conditionalFormatting sqref="G42:G172 G2:G40">
    <cfRule type="expression" dxfId="2" priority="7">
      <formula>G2="Groceries"</formula>
    </cfRule>
    <cfRule type="expression" dxfId="1" priority="8">
      <formula>G2="Dine Out/Takeaways"</formula>
    </cfRule>
    <cfRule type="expression" dxfId="0" priority="9">
      <formula>G2="Entertainment"</formula>
    </cfRule>
  </conditionalFormatting>
  <conditionalFormatting sqref="C42:C172 C2:C40">
    <cfRule type="dataBar" priority="7660">
      <dataBar>
        <cfvo type="min"/>
        <cfvo type="max"/>
        <color rgb="FF00B4D8"/>
      </dataBar>
    </cfRule>
  </conditionalFormatting>
  <dataValidations count="2">
    <dataValidation type="list" allowBlank="1" showErrorMessage="1" errorTitle="Invalid Category" error="Use the dropdown to select a valid category." promptTitle="Category" prompt="Pick a category" sqref="G42:G172 G2:G40" xr:uid="{52577A64-9FAB-4CE6-A6AB-E379673CAEBB}">
      <formula1>"Groceries,Dine Out/Takeaways,Entertainment"</formula1>
    </dataValidation>
    <dataValidation type="list" allowBlank="1" showErrorMessage="1" errorTitle="Invalid Value" error="Please select Yes or No." promptTitle="Paid Status" prompt="Has this been paid?" sqref="E42:F172 E2:F40" xr:uid="{8D3FEDCE-0061-4F6F-8496-9A6C7C0170C9}">
      <formula1>"Yes,No"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MarkRowPaid">
                <anchor moveWithCells="1" sizeWithCells="1">
                  <from>
                    <xdr:col>7</xdr:col>
                    <xdr:colOff>635000</xdr:colOff>
                    <xdr:row>21</xdr:row>
                    <xdr:rowOff>12700</xdr:rowOff>
                  </from>
                  <to>
                    <xdr:col>10</xdr:col>
                    <xdr:colOff>787400</xdr:colOff>
                    <xdr:row>22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AddRow">
                <anchor moveWithCells="1" sizeWithCells="1">
                  <from>
                    <xdr:col>7</xdr:col>
                    <xdr:colOff>596900</xdr:colOff>
                    <xdr:row>25</xdr:row>
                    <xdr:rowOff>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DeleteRow">
                <anchor moveWithCells="1" sizeWithCells="1">
                  <from>
                    <xdr:col>7</xdr:col>
                    <xdr:colOff>622300</xdr:colOff>
                    <xdr:row>22</xdr:row>
                    <xdr:rowOff>177800</xdr:rowOff>
                  </from>
                  <to>
                    <xdr:col>10</xdr:col>
                    <xdr:colOff>787400</xdr:colOff>
                    <xdr:row>24</xdr:row>
                    <xdr:rowOff>63500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📊 Dashboard</vt:lpstr>
      <vt:lpstr>February 2026</vt:lpstr>
      <vt:lpstr>March 2026</vt:lpstr>
      <vt:lpstr>April 2026</vt:lpstr>
      <vt:lpstr>May 2026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Zain Glenn</cp:lastModifiedBy>
  <dcterms:created xsi:type="dcterms:W3CDTF">2026-04-08T13:43:04Z</dcterms:created>
  <dcterms:modified xsi:type="dcterms:W3CDTF">2026-05-17T12:27:42Z</dcterms:modified>
</cp:coreProperties>
</file>